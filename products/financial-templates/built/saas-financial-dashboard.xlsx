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b val="1"/>
      <color rgb="FFFFFFFF"/>
      <sz val="24"/>
    </font>
    <font>
      <color rgb="FF6B7280"/>
      <sz val="10"/>
    </font>
    <font>
      <b val="1"/>
      <color rgb="FF1E3A8A"/>
      <sz val="14"/>
    </font>
    <font>
      <b val="1"/>
      <color rgb="FFFFFFFF"/>
    </font>
    <font>
      <b val="1"/>
      <sz val="11"/>
    </font>
    <font>
      <b val="1"/>
      <color rgb="FFF59E0B"/>
      <sz val="12"/>
    </font>
    <font>
      <b val="1"/>
    </font>
    <font>
      <b val="1"/>
      <color rgb="FF1E3A8A"/>
      <sz val="16"/>
    </font>
    <font>
      <b val="1"/>
      <color rgb="FF1E3A8A"/>
    </font>
    <font>
      <b val="1"/>
      <color rgb="FF1E3A8A"/>
      <sz val="18"/>
    </font>
    <font>
      <b val="1"/>
      <color rgb="FF3B82F6"/>
      <sz val="12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FFF4E6"/>
        <bgColor rgb="FF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 ht="40" customHeight="1">
      <c r="A1" s="1" t="inlineStr">
        <is>
          <t>SaaS Financial Dashboard</t>
        </is>
      </c>
    </row>
    <row r="2">
      <c r="A2" s="2" t="inlineStr">
        <is>
          <t>Generated: January 2026</t>
        </is>
      </c>
    </row>
    <row r="4">
      <c r="A4" s="3" t="inlineStr">
        <is>
          <t>KEY METRICS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Notes</t>
        </is>
      </c>
    </row>
    <row r="7">
      <c r="A7" t="inlineStr">
        <is>
          <t>Monthly Recurring Revenue (MRR)</t>
        </is>
      </c>
      <c r="B7" s="5">
        <f>Dashboard!B20</f>
        <v/>
      </c>
      <c r="C7" t="inlineStr">
        <is>
          <t>Current MRR</t>
        </is>
      </c>
    </row>
    <row r="8">
      <c r="A8" t="inlineStr">
        <is>
          <t>Annual Recurring Revenue (ARR)</t>
        </is>
      </c>
      <c r="B8" s="5">
        <f>Dashboard!B20*12</f>
        <v/>
      </c>
      <c r="C8" t="inlineStr">
        <is>
          <t>MRR x 12</t>
        </is>
      </c>
    </row>
    <row r="9">
      <c r="A9" t="inlineStr">
        <is>
          <t>Active Customers</t>
        </is>
      </c>
      <c r="B9" s="6">
        <f>Dashboard!B21</f>
        <v/>
      </c>
      <c r="C9" t="inlineStr">
        <is>
          <t>Total active subscriptions</t>
        </is>
      </c>
    </row>
    <row r="10">
      <c r="A10" t="inlineStr">
        <is>
          <t>Churn Rate</t>
        </is>
      </c>
      <c r="B10" s="7">
        <f>Dashboard!B22/100</f>
        <v/>
      </c>
      <c r="C10" t="inlineStr">
        <is>
          <t>Monthly customer churn</t>
        </is>
      </c>
    </row>
    <row r="11">
      <c r="A11" t="inlineStr">
        <is>
          <t>Avg Revenue Per Account (ARPA)</t>
        </is>
      </c>
      <c r="B11" s="5">
        <f>Dashboard!B20/Dashboard!B21</f>
        <v/>
      </c>
      <c r="C11" t="inlineStr">
        <is>
          <t>MRR / Customers</t>
        </is>
      </c>
    </row>
    <row r="12">
      <c r="A12" t="inlineStr">
        <is>
          <t>Burn Rate</t>
        </is>
      </c>
      <c r="B12" s="5">
        <f>Dashboard!B23</f>
        <v/>
      </c>
      <c r="C12" t="inlineStr">
        <is>
          <t>Monthly cash burn</t>
        </is>
      </c>
    </row>
    <row r="13">
      <c r="A13" t="inlineStr">
        <is>
          <t>Runway (Months)</t>
        </is>
      </c>
      <c r="B13" s="6">
        <f>Dashboard!B24/Dashboard!B23</f>
        <v/>
      </c>
      <c r="C13" t="inlineStr">
        <is>
          <t>Cash / Burn Rate</t>
        </is>
      </c>
    </row>
    <row r="14">
      <c r="A14" t="inlineStr">
        <is>
          <t>Customer Acquisition Cost (CAC)</t>
        </is>
      </c>
      <c r="B14" s="5">
        <f>Dashboard!B25</f>
        <v/>
      </c>
      <c r="C14" t="inlineStr">
        <is>
          <t>Cost to acquire customer</t>
        </is>
      </c>
    </row>
    <row r="15">
      <c r="A15" t="inlineStr">
        <is>
          <t>Lifetime Value (LTV)</t>
        </is>
      </c>
      <c r="B15" s="5">
        <f>Dashboard!B26</f>
        <v/>
      </c>
      <c r="C15" t="inlineStr">
        <is>
          <t>Expected customer value</t>
        </is>
      </c>
    </row>
    <row r="16">
      <c r="A16" t="inlineStr">
        <is>
          <t>LTV:CAC Ratio</t>
        </is>
      </c>
      <c r="B16" s="8">
        <f>Dashboard!B26/Dashboard!B25</f>
        <v/>
      </c>
      <c r="C16" t="inlineStr">
        <is>
          <t>LTV / CAC</t>
        </is>
      </c>
    </row>
    <row r="19">
      <c r="A19" s="9" t="inlineStr">
        <is>
          <t>YOUR DATA (Edit these values)</t>
        </is>
      </c>
    </row>
    <row r="20">
      <c r="A20" t="inlineStr">
        <is>
          <t>Current MRR</t>
        </is>
      </c>
      <c r="B20" s="10" t="n">
        <v>45000</v>
      </c>
    </row>
    <row r="21">
      <c r="A21" t="inlineStr">
        <is>
          <t>Active Customers</t>
        </is>
      </c>
      <c r="B21" s="10" t="n">
        <v>150</v>
      </c>
    </row>
    <row r="22">
      <c r="A22" t="inlineStr">
        <is>
          <t>Monthly Churn %</t>
        </is>
      </c>
      <c r="B22" s="10" t="n">
        <v>3.5</v>
      </c>
    </row>
    <row r="23">
      <c r="A23" t="inlineStr">
        <is>
          <t>Monthly Burn Rate</t>
        </is>
      </c>
      <c r="B23" s="10" t="n">
        <v>35000</v>
      </c>
    </row>
    <row r="24">
      <c r="A24" t="inlineStr">
        <is>
          <t>Cash Balance</t>
        </is>
      </c>
      <c r="B24" s="10" t="n">
        <v>420000</v>
      </c>
    </row>
    <row r="25">
      <c r="A25" t="inlineStr">
        <is>
          <t>CAC</t>
        </is>
      </c>
      <c r="B25" s="10" t="n">
        <v>450</v>
      </c>
    </row>
    <row r="26">
      <c r="A26" t="inlineStr">
        <is>
          <t>LTV</t>
        </is>
      </c>
      <c r="B26" s="10" t="n">
        <v>3200</v>
      </c>
    </row>
  </sheetData>
  <mergeCells count="3">
    <mergeCell ref="A19:B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1" t="inlineStr">
        <is>
          <t>Monthly Revenue &amp; Customer Trends</t>
        </is>
      </c>
    </row>
    <row r="3">
      <c r="A3" s="4" t="inlineStr">
        <is>
          <t>Month</t>
        </is>
      </c>
      <c r="B3" s="4" t="inlineStr">
        <is>
          <t>MRR</t>
        </is>
      </c>
      <c r="C3" s="4" t="inlineStr">
        <is>
          <t>Customers</t>
        </is>
      </c>
      <c r="D3" s="4" t="inlineStr">
        <is>
          <t>Churn %</t>
        </is>
      </c>
      <c r="E3" s="4" t="inlineStr">
        <is>
          <t>New Customers</t>
        </is>
      </c>
    </row>
    <row r="4">
      <c r="A4" t="inlineStr">
        <is>
          <t>Jan 2025</t>
        </is>
      </c>
      <c r="B4" s="12" t="n">
        <v>25000</v>
      </c>
      <c r="C4" s="13" t="n">
        <v>80</v>
      </c>
      <c r="D4" s="14" t="n">
        <v>0.035</v>
      </c>
      <c r="E4" s="13" t="n">
        <v>12</v>
      </c>
    </row>
    <row r="5">
      <c r="A5" t="inlineStr">
        <is>
          <t>Jan 2025</t>
        </is>
      </c>
      <c r="B5" s="12" t="n">
        <v>27000</v>
      </c>
      <c r="C5" s="13" t="n">
        <v>86</v>
      </c>
      <c r="D5" s="14" t="n">
        <v>0.036</v>
      </c>
      <c r="E5" s="13" t="n">
        <v>12</v>
      </c>
    </row>
    <row r="6">
      <c r="A6" t="inlineStr">
        <is>
          <t>Mar 2025</t>
        </is>
      </c>
      <c r="B6" s="12" t="n">
        <v>29160</v>
      </c>
      <c r="C6" s="13" t="n">
        <v>93</v>
      </c>
      <c r="D6" s="14" t="n">
        <v>0.03700000000000001</v>
      </c>
      <c r="E6" s="13" t="n">
        <v>13</v>
      </c>
    </row>
    <row r="7">
      <c r="A7" t="inlineStr">
        <is>
          <t>Apr 2025</t>
        </is>
      </c>
      <c r="B7" s="12" t="n">
        <v>31492</v>
      </c>
      <c r="C7" s="13" t="n">
        <v>100</v>
      </c>
      <c r="D7" s="14" t="n">
        <v>0.038</v>
      </c>
      <c r="E7" s="13" t="n">
        <v>15</v>
      </c>
    </row>
    <row r="8">
      <c r="A8" t="inlineStr">
        <is>
          <t>May 2025</t>
        </is>
      </c>
      <c r="B8" s="12" t="n">
        <v>34012</v>
      </c>
      <c r="C8" s="13" t="n">
        <v>108</v>
      </c>
      <c r="D8" s="14" t="n">
        <v>0.039</v>
      </c>
      <c r="E8" s="13" t="n">
        <v>16</v>
      </c>
    </row>
    <row r="9">
      <c r="A9" t="inlineStr">
        <is>
          <t>May 2025</t>
        </is>
      </c>
      <c r="B9" s="12" t="n">
        <v>36733</v>
      </c>
      <c r="C9" s="13" t="n">
        <v>117</v>
      </c>
      <c r="D9" s="14" t="n">
        <v>0.04</v>
      </c>
      <c r="E9" s="13" t="n">
        <v>17</v>
      </c>
    </row>
    <row r="10">
      <c r="A10" t="inlineStr">
        <is>
          <t>Jun 2025</t>
        </is>
      </c>
      <c r="B10" s="12" t="n">
        <v>39671</v>
      </c>
      <c r="C10" s="13" t="n">
        <v>126</v>
      </c>
      <c r="D10" s="14" t="n">
        <v>0.04099999999999999</v>
      </c>
      <c r="E10" s="13" t="n">
        <v>18</v>
      </c>
    </row>
    <row r="11">
      <c r="A11" t="inlineStr">
        <is>
          <t>Jul 2025</t>
        </is>
      </c>
      <c r="B11" s="12" t="n">
        <v>42845</v>
      </c>
      <c r="C11" s="13" t="n">
        <v>137</v>
      </c>
      <c r="D11" s="14" t="n">
        <v>0.042</v>
      </c>
      <c r="E11" s="13" t="n">
        <v>20</v>
      </c>
    </row>
    <row r="12">
      <c r="A12" t="inlineStr">
        <is>
          <t>Aug 2025</t>
        </is>
      </c>
      <c r="B12" s="12" t="n">
        <v>46273</v>
      </c>
      <c r="C12" s="13" t="n">
        <v>148</v>
      </c>
      <c r="D12" s="14" t="n">
        <v>0.043</v>
      </c>
      <c r="E12" s="13" t="n">
        <v>22</v>
      </c>
    </row>
    <row r="13">
      <c r="A13" t="inlineStr">
        <is>
          <t>Sep 2025</t>
        </is>
      </c>
      <c r="B13" s="12" t="n">
        <v>49975</v>
      </c>
      <c r="C13" s="13" t="n">
        <v>159</v>
      </c>
      <c r="D13" s="14" t="n">
        <v>0.044</v>
      </c>
      <c r="E13" s="13" t="n">
        <v>23</v>
      </c>
    </row>
    <row r="14">
      <c r="A14" t="inlineStr">
        <is>
          <t>Oct 2025</t>
        </is>
      </c>
      <c r="B14" s="12" t="n">
        <v>53973</v>
      </c>
      <c r="C14" s="13" t="n">
        <v>172</v>
      </c>
      <c r="D14" s="14" t="n">
        <v>0.045</v>
      </c>
      <c r="E14" s="13" t="n">
        <v>25</v>
      </c>
    </row>
    <row r="15">
      <c r="A15" t="inlineStr">
        <is>
          <t>Nov 2025</t>
        </is>
      </c>
      <c r="B15" s="12" t="n">
        <v>58290</v>
      </c>
      <c r="C15" s="13" t="n">
        <v>186</v>
      </c>
      <c r="D15" s="14" t="n">
        <v>0.046</v>
      </c>
      <c r="E15" s="13" t="n">
        <v>27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4" max="4"/>
  </cols>
  <sheetData>
    <row r="1">
      <c r="A1" s="11" t="inlineStr">
        <is>
          <t>Unit Economics Analysis</t>
        </is>
      </c>
    </row>
    <row r="3">
      <c r="A3" s="15" t="inlineStr">
        <is>
          <t>CUSTOMER ACQUISITION</t>
        </is>
      </c>
      <c r="D3" t="inlineStr"/>
    </row>
    <row r="4">
      <c r="A4" t="inlineStr">
        <is>
          <t>Marketing Spend/Month</t>
        </is>
      </c>
      <c r="B4" s="12" t="n">
        <v>25000</v>
      </c>
      <c r="D4" t="inlineStr"/>
    </row>
    <row r="5">
      <c r="A5" t="inlineStr">
        <is>
          <t>New Customers/Month</t>
        </is>
      </c>
      <c r="B5" s="13" t="n">
        <v>55</v>
      </c>
      <c r="D5" t="inlineStr"/>
    </row>
    <row r="6">
      <c r="A6" t="inlineStr">
        <is>
          <t>CAC</t>
        </is>
      </c>
      <c r="B6" s="12">
        <f>B5/B6</f>
        <v/>
      </c>
      <c r="D6" t="inlineStr">
        <is>
          <t>Marketing Spend / New Customers</t>
        </is>
      </c>
    </row>
    <row r="7">
      <c r="A7" t="inlineStr"/>
      <c r="D7" t="inlineStr"/>
    </row>
    <row r="8">
      <c r="A8" s="15" t="inlineStr">
        <is>
          <t>CUSTOMER LIFETIME VALUE</t>
        </is>
      </c>
      <c r="D8" t="inlineStr"/>
    </row>
    <row r="9">
      <c r="A9" t="inlineStr">
        <is>
          <t>Average MRR per Customer</t>
        </is>
      </c>
      <c r="B9" s="12">
        <f>Dashboard!B20/Dashboard!B21</f>
        <v/>
      </c>
      <c r="D9" t="inlineStr"/>
    </row>
    <row r="10">
      <c r="A10" t="inlineStr">
        <is>
          <t>Average Customer Lifespan (months)</t>
        </is>
      </c>
      <c r="B10" s="13" t="n">
        <v>28</v>
      </c>
      <c r="D10" t="inlineStr">
        <is>
          <t>1 / Monthly Churn</t>
        </is>
      </c>
    </row>
    <row r="11">
      <c r="A11" t="inlineStr">
        <is>
          <t>Gross Margin %</t>
        </is>
      </c>
      <c r="B11" s="16" t="n">
        <v>0.75</v>
      </c>
      <c r="D11" t="inlineStr">
        <is>
          <t>Typical SaaS: 70-80%</t>
        </is>
      </c>
    </row>
    <row r="12">
      <c r="A12" t="inlineStr">
        <is>
          <t>LTV</t>
        </is>
      </c>
      <c r="B12" s="12">
        <f>B11*B12*B13</f>
        <v/>
      </c>
      <c r="D12" t="inlineStr">
        <is>
          <t>ARPA x Lifespan x Margin</t>
        </is>
      </c>
    </row>
    <row r="13">
      <c r="A13" t="inlineStr"/>
      <c r="D13" t="inlineStr"/>
    </row>
    <row r="14">
      <c r="A14" s="15" t="inlineStr">
        <is>
          <t>HEALTH METRICS</t>
        </is>
      </c>
      <c r="D14" t="inlineStr"/>
    </row>
    <row r="15">
      <c r="A15" t="inlineStr">
        <is>
          <t>LTV:CAC Ratio</t>
        </is>
      </c>
      <c r="B15" s="17">
        <f>B14/B7</f>
        <v/>
      </c>
      <c r="D15" t="inlineStr">
        <is>
          <t>Target: &gt;3.0</t>
        </is>
      </c>
    </row>
    <row r="16">
      <c r="A16" t="inlineStr">
        <is>
          <t>CAC Payback (months)</t>
        </is>
      </c>
      <c r="B16" s="17">
        <f>B7/B11</f>
        <v/>
      </c>
      <c r="D16" t="inlineStr">
        <is>
          <t>Target: &lt;12 months</t>
        </is>
      </c>
    </row>
    <row r="17">
      <c r="A17" t="inlineStr">
        <is>
          <t>Rule of 40</t>
        </is>
      </c>
      <c r="B17" s="16">
        <f>(Dashboard!B20*12/10000)*0.08 + B13</f>
        <v/>
      </c>
      <c r="D17" t="inlineStr">
        <is>
          <t>Growth % + Margin 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8" t="inlineStr">
        <is>
          <t>How to Use This Template</t>
        </is>
      </c>
    </row>
    <row r="3">
      <c r="A3" t="inlineStr"/>
    </row>
    <row r="4">
      <c r="A4" s="19" t="inlineStr">
        <is>
          <t>QUICK START</t>
        </is>
      </c>
    </row>
    <row r="5">
      <c r="A5" t="inlineStr">
        <is>
          <t>1. Go to the "Dashboard" sheet</t>
        </is>
      </c>
    </row>
    <row r="6">
      <c r="A6" t="inlineStr">
        <is>
          <t>2. Find the yellow "YOUR DATA" section</t>
        </is>
      </c>
    </row>
    <row r="7">
      <c r="A7" t="inlineStr">
        <is>
          <t>3. Enter your actual numbers (MRR, customers, etc.)</t>
        </is>
      </c>
    </row>
    <row r="8">
      <c r="A8" t="inlineStr">
        <is>
          <t>4. All metrics will update automatically</t>
        </is>
      </c>
    </row>
    <row r="9">
      <c r="A9" t="inlineStr"/>
    </row>
    <row r="10">
      <c r="A10" s="19" t="inlineStr">
        <is>
          <t>UNDERSTANDING THE METRICS</t>
        </is>
      </c>
    </row>
    <row r="11">
      <c r="A11" t="inlineStr"/>
    </row>
    <row r="12">
      <c r="A12" t="inlineStr">
        <is>
          <t>MRR (Monthly Recurring Revenue): Your predictable monthly income</t>
        </is>
      </c>
    </row>
    <row r="13">
      <c r="A13" t="inlineStr">
        <is>
          <t>ARR (Annual Recurring Revenue): MRR x 12</t>
        </is>
      </c>
    </row>
    <row r="14">
      <c r="A14" t="inlineStr">
        <is>
          <t>Churn Rate: % of customers who cancel each month (lower is better)</t>
        </is>
      </c>
    </row>
    <row r="15">
      <c r="A15" t="inlineStr">
        <is>
          <t>ARPA: Average revenue per customer</t>
        </is>
      </c>
    </row>
    <row r="16">
      <c r="A16" t="inlineStr">
        <is>
          <t>Burn Rate: How much cash you spend per month</t>
        </is>
      </c>
    </row>
    <row r="17">
      <c r="A17" t="inlineStr">
        <is>
          <t>Runway: Months until you run out of cash (Cash / Burn Rate)</t>
        </is>
      </c>
    </row>
    <row r="18">
      <c r="A18" t="inlineStr">
        <is>
          <t>CAC: Cost to acquire one customer</t>
        </is>
      </c>
    </row>
    <row r="19">
      <c r="A19" t="inlineStr">
        <is>
          <t>LTV: Total value of a customer over their lifetime</t>
        </is>
      </c>
    </row>
    <row r="20">
      <c r="A20" t="inlineStr">
        <is>
          <t>LTV:CAC Ratio: Health metric (should be &gt;3.0)</t>
        </is>
      </c>
    </row>
    <row r="21">
      <c r="A21" t="inlineStr"/>
    </row>
    <row r="22">
      <c r="A22" s="19" t="inlineStr">
        <is>
          <t>WHAT MAKES A HEALTHY SAAS?</t>
        </is>
      </c>
    </row>
    <row r="23">
      <c r="A23" t="inlineStr"/>
    </row>
    <row r="24">
      <c r="A24" t="inlineStr">
        <is>
          <t>✓ LTV:CAC Ratio &gt; 3.0</t>
        </is>
      </c>
    </row>
    <row r="25">
      <c r="A25" t="inlineStr">
        <is>
          <t>✓ CAC Payback &lt; 12 months</t>
        </is>
      </c>
    </row>
    <row r="26">
      <c r="A26" t="inlineStr">
        <is>
          <t>✓ Churn Rate &lt; 5% monthly</t>
        </is>
      </c>
    </row>
    <row r="27">
      <c r="A27" t="inlineStr">
        <is>
          <t>✓ Gross Margin &gt; 70%</t>
        </is>
      </c>
    </row>
    <row r="28">
      <c r="A28" t="inlineStr">
        <is>
          <t>✓ Rule of 40 &gt; 40%</t>
        </is>
      </c>
    </row>
    <row r="29">
      <c r="A29" t="inlineStr"/>
    </row>
    <row r="30">
      <c r="A30" s="19" t="inlineStr">
        <is>
          <t>CUSTOMIZATION</t>
        </is>
      </c>
    </row>
    <row r="31">
      <c r="A31" t="inlineStr"/>
    </row>
    <row r="32">
      <c r="A32" t="inlineStr">
        <is>
          <t>Feel free to modify formulas to fit your business model</t>
        </is>
      </c>
    </row>
    <row r="33">
      <c r="A33" t="inlineStr">
        <is>
          <t>Add your own metrics in empty cells</t>
        </is>
      </c>
    </row>
    <row r="34">
      <c r="A34" t="inlineStr">
        <is>
          <t>Adjust the example data in "Monthly Trends"</t>
        </is>
      </c>
    </row>
    <row r="35">
      <c r="A35" t="inlineStr"/>
    </row>
    <row r="36">
      <c r="A36" s="19" t="inlineStr">
        <is>
          <t>SUPPORT</t>
        </is>
      </c>
    </row>
    <row r="37">
      <c r="A37" t="inlineStr">
        <is>
          <t>Questions? Email: support@example.com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2026-01-17T20:29:36Z</dcterms:created>
  <dcterms:modified xmlns:dcterms="http://purl.org/dc/terms/" xmlns:xsi="http://www.w3.org/2001/XMLSchema-instance" xsi:type="dcterms:W3CDTF">2026-01-17T20:29:36Z</dcterms:modified>
</cp:coreProperties>
</file>