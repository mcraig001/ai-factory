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12-Month Forecast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</font>
    <font>
      <b val="1"/>
      <color rgb="001E40AF"/>
    </font>
    <font>
      <b val="1"/>
      <color rgb="00FFFFFF"/>
    </font>
    <font>
      <b val="1"/>
      <color rgb="0010B981"/>
      <sz val="12"/>
    </font>
    <font>
      <b val="1"/>
      <color rgb="00EF4444"/>
      <sz val="12"/>
    </font>
    <font>
      <b val="1"/>
      <sz val="12"/>
    </font>
    <font>
      <b val="1"/>
      <sz val="11"/>
    </font>
    <font>
      <b val="1"/>
      <color rgb="00FFFFFF"/>
      <sz val="18"/>
    </font>
    <font>
      <b val="1"/>
      <color rgb="001E40AF"/>
      <sz val="12"/>
    </font>
    <font>
      <b val="1"/>
      <color rgb="001E40AF"/>
      <sz val="16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F3C7"/>
      </patternFill>
    </fill>
    <fill>
      <patternFill patternType="solid">
        <fgColor rgb="003B82F6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5" fontId="3" fillId="3" borderId="0" pivotButton="0" quotePrefix="0" xfId="0"/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164" fontId="0" fillId="0" borderId="0" pivotButton="0" quotePrefix="0" xfId="0"/>
    <xf numFmtId="164" fontId="3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164" fontId="9" fillId="5" borderId="0" pivotButton="0" quotePrefix="0" xfId="0"/>
    <xf numFmtId="0" fontId="10" fillId="2" borderId="0" pivotButton="0" quotePrefix="0" xfId="0"/>
    <xf numFmtId="0" fontId="11" fillId="0" borderId="0" pivotButton="0" quotePrefix="0" xfId="0"/>
    <xf numFmtId="0" fontId="9" fillId="0" borderId="0" pivotButton="0" quotePrefix="0" xfId="0"/>
    <xf numFmtId="166" fontId="9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0" customHeight="1">
      <c r="A1" s="1" t="inlineStr">
        <is>
          <t>BUSINESS INPUTS</t>
        </is>
      </c>
    </row>
    <row r="2">
      <c r="A2" s="2" t="inlineStr">
        <is>
          <t>Enter your data in the YELLOW cells below</t>
        </is>
      </c>
    </row>
    <row r="3">
      <c r="A3" s="3" t="inlineStr">
        <is>
          <t>Description</t>
        </is>
      </c>
      <c r="B3" s="3" t="inlineStr">
        <is>
          <t>Amount</t>
        </is>
      </c>
    </row>
    <row r="4">
      <c r="A4" t="inlineStr">
        <is>
          <t>Starting Cash</t>
        </is>
      </c>
      <c r="B4" s="4" t="n">
        <v>50000</v>
      </c>
    </row>
    <row r="6">
      <c r="A6" s="5" t="inlineStr">
        <is>
          <t>MONTHLY REVENUE</t>
        </is>
      </c>
    </row>
    <row r="7">
      <c r="A7" t="inlineStr">
        <is>
          <t>Current Monthly Revenue</t>
        </is>
      </c>
      <c r="B7" s="4" t="n">
        <v>25000</v>
      </c>
    </row>
    <row r="8">
      <c r="A8" t="inlineStr">
        <is>
          <t>Revenue Growth % (monthly)</t>
        </is>
      </c>
      <c r="B8" s="6" t="n">
        <v>0.05</v>
      </c>
    </row>
    <row r="10">
      <c r="A10" s="5" t="inlineStr">
        <is>
          <t>MONTHLY EXPENSES</t>
        </is>
      </c>
    </row>
    <row r="11">
      <c r="A11" t="inlineStr">
        <is>
          <t>Salary &amp; Payroll</t>
        </is>
      </c>
      <c r="B11" s="4" t="n">
        <v>12000</v>
      </c>
    </row>
    <row r="12">
      <c r="A12" t="inlineStr">
        <is>
          <t>Rent &amp; Facilities</t>
        </is>
      </c>
      <c r="B12" s="4" t="n">
        <v>3000</v>
      </c>
    </row>
    <row r="13">
      <c r="A13" t="inlineStr">
        <is>
          <t>Marketing &amp; Sales</t>
        </is>
      </c>
      <c r="B13" s="4" t="n">
        <v>2500</v>
      </c>
    </row>
    <row r="14">
      <c r="A14" t="inlineStr">
        <is>
          <t>Software &amp; Tools</t>
        </is>
      </c>
      <c r="B14" s="4" t="n">
        <v>800</v>
      </c>
    </row>
    <row r="15">
      <c r="A15" t="inlineStr">
        <is>
          <t>Other Operating Expenses</t>
        </is>
      </c>
      <c r="B15" s="4" t="n">
        <v>1700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0" customHeight="1">
      <c r="A1" s="1" t="inlineStr">
        <is>
          <t>12-MONTH CASH FLOW FORECAST</t>
        </is>
      </c>
    </row>
    <row r="3">
      <c r="A3" t="inlineStr"/>
      <c r="B3" t="inlineStr">
        <is>
          <t>Starting</t>
        </is>
      </c>
      <c r="C3" s="7" t="inlineStr">
        <is>
          <t>Jan 26</t>
        </is>
      </c>
      <c r="D3" s="7" t="inlineStr">
        <is>
          <t>Jan 26</t>
        </is>
      </c>
      <c r="E3" s="7" t="inlineStr">
        <is>
          <t>Mar 26</t>
        </is>
      </c>
      <c r="F3" s="7" t="inlineStr">
        <is>
          <t>Apr 26</t>
        </is>
      </c>
      <c r="G3" s="7" t="inlineStr">
        <is>
          <t>May 26</t>
        </is>
      </c>
      <c r="H3" s="7" t="inlineStr">
        <is>
          <t>May 26</t>
        </is>
      </c>
      <c r="I3" s="7" t="inlineStr">
        <is>
          <t>Jun 26</t>
        </is>
      </c>
      <c r="J3" s="7" t="inlineStr">
        <is>
          <t>Jul 26</t>
        </is>
      </c>
      <c r="K3" s="7" t="inlineStr">
        <is>
          <t>Aug 26</t>
        </is>
      </c>
      <c r="L3" s="7" t="inlineStr">
        <is>
          <t>Sep 26</t>
        </is>
      </c>
      <c r="M3" s="7" t="inlineStr">
        <is>
          <t>Oct 26</t>
        </is>
      </c>
      <c r="N3" s="7" t="inlineStr">
        <is>
          <t>Nov 26</t>
        </is>
      </c>
    </row>
    <row r="5">
      <c r="A5" s="8" t="inlineStr">
        <is>
          <t>REVENUE</t>
        </is>
      </c>
    </row>
    <row r="6">
      <c r="A6" t="inlineStr">
        <is>
          <t>Monthly Revenue</t>
        </is>
      </c>
      <c r="C6" s="9">
        <f>Inputs!$B$5</f>
        <v/>
      </c>
      <c r="D6" s="9">
        <f>C6*(1+Inputs!$B$6)</f>
        <v/>
      </c>
      <c r="E6" s="9">
        <f>D6*(1+Inputs!$B$6)</f>
        <v/>
      </c>
      <c r="F6" s="9">
        <f>E6*(1+Inputs!$B$6)</f>
        <v/>
      </c>
      <c r="G6" s="9">
        <f>F6*(1+Inputs!$B$6)</f>
        <v/>
      </c>
      <c r="H6" s="9">
        <f>G6*(1+Inputs!$B$6)</f>
        <v/>
      </c>
      <c r="I6" s="9">
        <f>H6*(1+Inputs!$B$6)</f>
        <v/>
      </c>
      <c r="J6" s="9">
        <f>I6*(1+Inputs!$B$6)</f>
        <v/>
      </c>
      <c r="K6" s="9">
        <f>J6*(1+Inputs!$B$6)</f>
        <v/>
      </c>
      <c r="L6" s="9">
        <f>K6*(1+Inputs!$B$6)</f>
        <v/>
      </c>
      <c r="M6" s="9">
        <f>L6*(1+Inputs!$B$6)</f>
        <v/>
      </c>
      <c r="N6" s="9">
        <f>M6*(1+Inputs!$B$6)</f>
        <v/>
      </c>
    </row>
    <row r="7">
      <c r="A7" s="3" t="inlineStr">
        <is>
          <t>Total Revenue</t>
        </is>
      </c>
      <c r="C7" s="10">
        <f>C6</f>
        <v/>
      </c>
      <c r="D7" s="10">
        <f>D6</f>
        <v/>
      </c>
      <c r="E7" s="10">
        <f>E6</f>
        <v/>
      </c>
      <c r="F7" s="10">
        <f>F6</f>
        <v/>
      </c>
      <c r="G7" s="10">
        <f>G6</f>
        <v/>
      </c>
      <c r="H7" s="10">
        <f>H6</f>
        <v/>
      </c>
      <c r="I7" s="10">
        <f>I6</f>
        <v/>
      </c>
      <c r="J7" s="10">
        <f>J6</f>
        <v/>
      </c>
      <c r="K7" s="10">
        <f>K6</f>
        <v/>
      </c>
      <c r="L7" s="10">
        <f>L6</f>
        <v/>
      </c>
      <c r="M7" s="10">
        <f>M6</f>
        <v/>
      </c>
      <c r="N7" s="10">
        <f>N6</f>
        <v/>
      </c>
    </row>
    <row r="9">
      <c r="A9" s="11" t="inlineStr">
        <is>
          <t>EXPENSES</t>
        </is>
      </c>
    </row>
    <row r="10">
      <c r="A10" t="inlineStr">
        <is>
          <t>Salary &amp; Payroll</t>
        </is>
      </c>
      <c r="C10" s="9">
        <f>Inputs!$B$9</f>
        <v/>
      </c>
      <c r="D10" s="9">
        <f>Inputs!$B$9</f>
        <v/>
      </c>
      <c r="E10" s="9">
        <f>Inputs!$B$9</f>
        <v/>
      </c>
      <c r="F10" s="9">
        <f>Inputs!$B$9</f>
        <v/>
      </c>
      <c r="G10" s="9">
        <f>Inputs!$B$9</f>
        <v/>
      </c>
      <c r="H10" s="9">
        <f>Inputs!$B$9</f>
        <v/>
      </c>
      <c r="I10" s="9">
        <f>Inputs!$B$9</f>
        <v/>
      </c>
      <c r="J10" s="9">
        <f>Inputs!$B$9</f>
        <v/>
      </c>
      <c r="K10" s="9">
        <f>Inputs!$B$9</f>
        <v/>
      </c>
      <c r="L10" s="9">
        <f>Inputs!$B$9</f>
        <v/>
      </c>
      <c r="M10" s="9">
        <f>Inputs!$B$9</f>
        <v/>
      </c>
      <c r="N10" s="9">
        <f>Inputs!$B$9</f>
        <v/>
      </c>
    </row>
    <row r="11">
      <c r="A11" t="inlineStr">
        <is>
          <t>Rent &amp; Facilities</t>
        </is>
      </c>
      <c r="C11" s="9">
        <f>Inputs!$B$10</f>
        <v/>
      </c>
      <c r="D11" s="9">
        <f>Inputs!$B$10</f>
        <v/>
      </c>
      <c r="E11" s="9">
        <f>Inputs!$B$10</f>
        <v/>
      </c>
      <c r="F11" s="9">
        <f>Inputs!$B$10</f>
        <v/>
      </c>
      <c r="G11" s="9">
        <f>Inputs!$B$10</f>
        <v/>
      </c>
      <c r="H11" s="9">
        <f>Inputs!$B$10</f>
        <v/>
      </c>
      <c r="I11" s="9">
        <f>Inputs!$B$10</f>
        <v/>
      </c>
      <c r="J11" s="9">
        <f>Inputs!$B$10</f>
        <v/>
      </c>
      <c r="K11" s="9">
        <f>Inputs!$B$10</f>
        <v/>
      </c>
      <c r="L11" s="9">
        <f>Inputs!$B$10</f>
        <v/>
      </c>
      <c r="M11" s="9">
        <f>Inputs!$B$10</f>
        <v/>
      </c>
      <c r="N11" s="9">
        <f>Inputs!$B$10</f>
        <v/>
      </c>
    </row>
    <row r="12">
      <c r="A12" t="inlineStr">
        <is>
          <t>Marketing &amp; Sales</t>
        </is>
      </c>
      <c r="C12" s="9">
        <f>Inputs!$B$11</f>
        <v/>
      </c>
      <c r="D12" s="9">
        <f>Inputs!$B$11</f>
        <v/>
      </c>
      <c r="E12" s="9">
        <f>Inputs!$B$11</f>
        <v/>
      </c>
      <c r="F12" s="9">
        <f>Inputs!$B$11</f>
        <v/>
      </c>
      <c r="G12" s="9">
        <f>Inputs!$B$11</f>
        <v/>
      </c>
      <c r="H12" s="9">
        <f>Inputs!$B$11</f>
        <v/>
      </c>
      <c r="I12" s="9">
        <f>Inputs!$B$11</f>
        <v/>
      </c>
      <c r="J12" s="9">
        <f>Inputs!$B$11</f>
        <v/>
      </c>
      <c r="K12" s="9">
        <f>Inputs!$B$11</f>
        <v/>
      </c>
      <c r="L12" s="9">
        <f>Inputs!$B$11</f>
        <v/>
      </c>
      <c r="M12" s="9">
        <f>Inputs!$B$11</f>
        <v/>
      </c>
      <c r="N12" s="9">
        <f>Inputs!$B$11</f>
        <v/>
      </c>
    </row>
    <row r="13">
      <c r="A13" t="inlineStr">
        <is>
          <t>Software &amp; Tools</t>
        </is>
      </c>
      <c r="C13" s="9">
        <f>Inputs!$B$12</f>
        <v/>
      </c>
      <c r="D13" s="9">
        <f>Inputs!$B$12</f>
        <v/>
      </c>
      <c r="E13" s="9">
        <f>Inputs!$B$12</f>
        <v/>
      </c>
      <c r="F13" s="9">
        <f>Inputs!$B$12</f>
        <v/>
      </c>
      <c r="G13" s="9">
        <f>Inputs!$B$12</f>
        <v/>
      </c>
      <c r="H13" s="9">
        <f>Inputs!$B$12</f>
        <v/>
      </c>
      <c r="I13" s="9">
        <f>Inputs!$B$12</f>
        <v/>
      </c>
      <c r="J13" s="9">
        <f>Inputs!$B$12</f>
        <v/>
      </c>
      <c r="K13" s="9">
        <f>Inputs!$B$12</f>
        <v/>
      </c>
      <c r="L13" s="9">
        <f>Inputs!$B$12</f>
        <v/>
      </c>
      <c r="M13" s="9">
        <f>Inputs!$B$12</f>
        <v/>
      </c>
      <c r="N13" s="9">
        <f>Inputs!$B$12</f>
        <v/>
      </c>
    </row>
    <row r="14">
      <c r="A14" t="inlineStr">
        <is>
          <t>Other Operating</t>
        </is>
      </c>
      <c r="C14" s="9">
        <f>Inputs!$B$13</f>
        <v/>
      </c>
      <c r="D14" s="9">
        <f>Inputs!$B$13</f>
        <v/>
      </c>
      <c r="E14" s="9">
        <f>Inputs!$B$13</f>
        <v/>
      </c>
      <c r="F14" s="9">
        <f>Inputs!$B$13</f>
        <v/>
      </c>
      <c r="G14" s="9">
        <f>Inputs!$B$13</f>
        <v/>
      </c>
      <c r="H14" s="9">
        <f>Inputs!$B$13</f>
        <v/>
      </c>
      <c r="I14" s="9">
        <f>Inputs!$B$13</f>
        <v/>
      </c>
      <c r="J14" s="9">
        <f>Inputs!$B$13</f>
        <v/>
      </c>
      <c r="K14" s="9">
        <f>Inputs!$B$13</f>
        <v/>
      </c>
      <c r="L14" s="9">
        <f>Inputs!$B$13</f>
        <v/>
      </c>
      <c r="M14" s="9">
        <f>Inputs!$B$13</f>
        <v/>
      </c>
      <c r="N14" s="9">
        <f>Inputs!$B$13</f>
        <v/>
      </c>
    </row>
    <row r="15">
      <c r="A15" s="3" t="inlineStr">
        <is>
          <t>Total Expenses</t>
        </is>
      </c>
      <c r="C15" s="10">
        <f>SUM(C10:C14)</f>
        <v/>
      </c>
      <c r="D15" s="10">
        <f>SUM(D10:D14)</f>
        <v/>
      </c>
      <c r="E15" s="10">
        <f>SUM(E10:E14)</f>
        <v/>
      </c>
      <c r="F15" s="10">
        <f>SUM(F10:F14)</f>
        <v/>
      </c>
      <c r="G15" s="10">
        <f>SUM(G10:G14)</f>
        <v/>
      </c>
      <c r="H15" s="10">
        <f>SUM(H10:H14)</f>
        <v/>
      </c>
      <c r="I15" s="10">
        <f>SUM(I10:I14)</f>
        <v/>
      </c>
      <c r="J15" s="10">
        <f>SUM(J10:J14)</f>
        <v/>
      </c>
      <c r="K15" s="10">
        <f>SUM(K10:K14)</f>
        <v/>
      </c>
      <c r="L15" s="10">
        <f>SUM(L10:L14)</f>
        <v/>
      </c>
      <c r="M15" s="10">
        <f>SUM(M10:M14)</f>
        <v/>
      </c>
      <c r="N15" s="10">
        <f>SUM(N10:N14)</f>
        <v/>
      </c>
    </row>
    <row r="17">
      <c r="A17" s="12" t="inlineStr">
        <is>
          <t>NET CASH FLOW</t>
        </is>
      </c>
      <c r="C17" s="13">
        <f>C7-C16</f>
        <v/>
      </c>
      <c r="D17" s="13">
        <f>D7-D16</f>
        <v/>
      </c>
      <c r="E17" s="13">
        <f>E7-E16</f>
        <v/>
      </c>
      <c r="F17" s="13">
        <f>F7-F16</f>
        <v/>
      </c>
      <c r="G17" s="13">
        <f>G7-G16</f>
        <v/>
      </c>
      <c r="H17" s="13">
        <f>H7-H16</f>
        <v/>
      </c>
      <c r="I17" s="13">
        <f>I7-I16</f>
        <v/>
      </c>
      <c r="J17" s="13">
        <f>J7-J16</f>
        <v/>
      </c>
      <c r="K17" s="13">
        <f>K7-K16</f>
        <v/>
      </c>
      <c r="L17" s="13">
        <f>L7-L16</f>
        <v/>
      </c>
      <c r="M17" s="13">
        <f>M7-M16</f>
        <v/>
      </c>
      <c r="N17" s="13">
        <f>N7-N16</f>
        <v/>
      </c>
    </row>
    <row r="18">
      <c r="A18" s="12" t="inlineStr">
        <is>
          <t>ENDING CASH BALANCE</t>
        </is>
      </c>
      <c r="B18" s="13">
        <f>Inputs!$B$4</f>
        <v/>
      </c>
      <c r="C18" s="14">
        <f>B18+C17</f>
        <v/>
      </c>
      <c r="D18" s="14">
        <f>C18+D17</f>
        <v/>
      </c>
      <c r="E18" s="14">
        <f>D18+E17</f>
        <v/>
      </c>
      <c r="F18" s="14">
        <f>E18+F17</f>
        <v/>
      </c>
      <c r="G18" s="14">
        <f>F18+G17</f>
        <v/>
      </c>
      <c r="H18" s="14">
        <f>G18+H17</f>
        <v/>
      </c>
      <c r="I18" s="14">
        <f>H18+I17</f>
        <v/>
      </c>
      <c r="J18" s="14">
        <f>I18+J17</f>
        <v/>
      </c>
      <c r="K18" s="14">
        <f>J18+K17</f>
        <v/>
      </c>
      <c r="L18" s="14">
        <f>K18+L17</f>
        <v/>
      </c>
      <c r="M18" s="14">
        <f>L18+M17</f>
        <v/>
      </c>
      <c r="N18" s="14">
        <f>M18+N17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5" customHeight="1">
      <c r="A1" s="15" t="inlineStr">
        <is>
          <t>CASH FLOW DASHBOARD</t>
        </is>
      </c>
    </row>
    <row r="2">
      <c r="A2" s="2" t="inlineStr">
        <is>
          <t>Executive Summary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Starting Cash</t>
        </is>
      </c>
      <c r="B5" s="13">
        <f>Inputs!B4</f>
        <v/>
      </c>
    </row>
    <row r="6">
      <c r="A6" t="inlineStr">
        <is>
          <t>Total Revenue (12 months)</t>
        </is>
      </c>
      <c r="B6" s="13">
        <f>SUM('12-Month Forecast'!C7:N7)</f>
        <v/>
      </c>
    </row>
    <row r="7">
      <c r="A7" t="inlineStr">
        <is>
          <t>Total Expenses (12 months)</t>
        </is>
      </c>
      <c r="B7" s="13">
        <f>SUM('12-Month Forecast'!C14:N14)</f>
        <v/>
      </c>
    </row>
    <row r="8">
      <c r="A8" t="inlineStr">
        <is>
          <t>Net Cash Flow (12 months)</t>
        </is>
      </c>
      <c r="B8" s="13">
        <f>B6-B7</f>
        <v/>
      </c>
    </row>
    <row r="9">
      <c r="A9" t="inlineStr">
        <is>
          <t>Ending Cash Balance</t>
        </is>
      </c>
      <c r="B9" s="13">
        <f>'12-Month Forecast'!N18</f>
        <v/>
      </c>
    </row>
    <row r="10">
      <c r="A10" t="inlineStr">
        <is>
          <t>Lowest Cash Point</t>
        </is>
      </c>
      <c r="B10" s="13">
        <f>MIN('12-Month Forecast'!C18:N18)</f>
        <v/>
      </c>
    </row>
    <row r="13">
      <c r="A13" s="16" t="inlineStr">
        <is>
          <t>CASH HEALTH CHECK</t>
        </is>
      </c>
    </row>
    <row r="14">
      <c r="A14" t="inlineStr">
        <is>
          <t>Status:</t>
        </is>
      </c>
      <c r="B14" s="17">
        <f>IF(B9&gt;B4*0.5,"✅ Healthy","⚠️ Monitor Closely")</f>
        <v/>
      </c>
    </row>
    <row r="15">
      <c r="A15" t="inlineStr">
        <is>
          <t>Runway (months):</t>
        </is>
      </c>
      <c r="B15" s="18">
        <f>B9/(B7/12)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9" t="inlineStr">
        <is>
          <t>HOW TO USE THIS FORECASTER</t>
        </is>
      </c>
    </row>
    <row r="3">
      <c r="A3" t="inlineStr"/>
    </row>
    <row r="4">
      <c r="A4" s="17" t="inlineStr">
        <is>
          <t>STEP 1: Enter Your Data</t>
        </is>
      </c>
    </row>
    <row r="5">
      <c r="A5" t="inlineStr">
        <is>
          <t>→ Go to "Inputs" sheet</t>
        </is>
      </c>
    </row>
    <row r="6">
      <c r="A6" t="inlineStr">
        <is>
          <t>→ Fill in YELLOW cells with your numbers</t>
        </is>
      </c>
    </row>
    <row r="7">
      <c r="A7" t="inlineStr">
        <is>
          <t>→ Starting cash, revenue, expenses</t>
        </is>
      </c>
    </row>
    <row r="8">
      <c r="A8" t="inlineStr"/>
    </row>
    <row r="9">
      <c r="A9" s="17" t="inlineStr">
        <is>
          <t>STEP 2: Review Forecast</t>
        </is>
      </c>
    </row>
    <row r="10">
      <c r="A10" t="inlineStr">
        <is>
          <t>→ Go to "12-Month Forecast" sheet</t>
        </is>
      </c>
    </row>
    <row r="11">
      <c r="A11" t="inlineStr">
        <is>
          <t>→ See your cash position for next 12 months</t>
        </is>
      </c>
    </row>
    <row r="12">
      <c r="A12" t="inlineStr">
        <is>
          <t>→ Check ending cash balance</t>
        </is>
      </c>
    </row>
    <row r="13">
      <c r="A13" t="inlineStr"/>
    </row>
    <row r="14">
      <c r="A14" s="17" t="inlineStr">
        <is>
          <t>STEP 3: Check Dashboard</t>
        </is>
      </c>
    </row>
    <row r="15">
      <c r="A15" t="inlineStr">
        <is>
          <t>→ Go to "Dashboard" sheet</t>
        </is>
      </c>
    </row>
    <row r="16">
      <c r="A16" t="inlineStr">
        <is>
          <t>→ See summary metrics</t>
        </is>
      </c>
    </row>
    <row r="17">
      <c r="A17" t="inlineStr">
        <is>
          <t>→ Check cash health status</t>
        </is>
      </c>
    </row>
    <row r="18">
      <c r="A18" t="inlineStr"/>
    </row>
    <row r="19">
      <c r="A19" s="17" t="inlineStr">
        <is>
          <t>KEY INSIGHTS:</t>
        </is>
      </c>
    </row>
    <row r="20">
      <c r="A20" t="inlineStr">
        <is>
          <t>→ Ending Cash Balance: How much cash you'll have in 12 months</t>
        </is>
      </c>
    </row>
    <row r="21">
      <c r="A21" t="inlineStr">
        <is>
          <t>→ Lowest Cash Point: Your minimum cash position (watch this!)</t>
        </is>
      </c>
    </row>
    <row r="22">
      <c r="A22" t="inlineStr">
        <is>
          <t>→ Runway: How many months until you run out (if growth stops)</t>
        </is>
      </c>
    </row>
    <row r="23">
      <c r="A23" t="inlineStr"/>
    </row>
    <row r="24">
      <c r="A24" t="inlineStr">
        <is>
          <t>TIPS:</t>
        </is>
      </c>
    </row>
    <row r="25">
      <c r="A25" t="inlineStr">
        <is>
          <t>• Update monthly with actual numbers</t>
        </is>
      </c>
    </row>
    <row r="26">
      <c r="A26" t="inlineStr">
        <is>
          <t>• Be conservative with revenue growth</t>
        </is>
      </c>
    </row>
    <row r="27">
      <c r="A27" t="inlineStr">
        <is>
          <t>• Include all expenses</t>
        </is>
      </c>
    </row>
    <row r="28">
      <c r="A28" t="inlineStr">
        <is>
          <t>• Keep 3-6 months cash buffer</t>
        </is>
      </c>
    </row>
    <row r="29">
      <c r="A29" t="inlineStr"/>
    </row>
    <row r="30">
      <c r="A30" t="inlineStr">
        <is>
          <t>Questions? Email: support@yoursite.com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2026-01-19T02:05:21Z</dcterms:created>
  <dcterms:modified xmlns:dcterms="http://purl.org/dc/terms/" xmlns:xsi="http://www.w3.org/2001/XMLSchema-instance" xsi:type="dcterms:W3CDTF">2026-01-19T02:05:21Z</dcterms:modified>
</cp:coreProperties>
</file>