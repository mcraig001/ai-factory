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alistic" sheetId="3" state="visible" r:id="rId3"/>
    <sheet xmlns:r="http://schemas.openxmlformats.org/officeDocument/2006/relationships" name="Optimistic" sheetId="4" state="visible" r:id="rId4"/>
    <sheet xmlns:r="http://schemas.openxmlformats.org/officeDocument/2006/relationships" name="Pessimistic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7">
    <font>
      <name val="Calibri"/>
      <family val="2"/>
      <color theme="1"/>
      <sz val="11"/>
      <scheme val="minor"/>
    </font>
    <font>
      <b val="1"/>
      <color rgb="FF1E3A8A"/>
      <sz val="18"/>
    </font>
    <font>
      <color rgb="FFF59E0B"/>
      <sz val="10"/>
    </font>
    <font>
      <b val="1"/>
      <color rgb="FF1E3A8A"/>
    </font>
    <font>
      <b val="1"/>
    </font>
    <font>
      <i val="1"/>
      <color rgb="FF6B7280"/>
      <sz val="9"/>
    </font>
    <font>
      <b val="1"/>
      <color rgb="FFFFFFFF"/>
      <sz val="16"/>
    </font>
    <font>
      <color rgb="FF6B7280"/>
      <sz val="10"/>
    </font>
    <font>
      <b val="1"/>
      <color rgb="FFFFFFFF"/>
    </font>
    <font>
      <b val="1"/>
      <color rgb="FF10B981"/>
    </font>
    <font>
      <b val="1"/>
      <color rgb="FFEF4444"/>
    </font>
    <font>
      <b val="1"/>
      <sz val="11"/>
    </font>
    <font>
      <b val="1"/>
      <color rgb="FFFFFFFF"/>
      <sz val="24"/>
    </font>
    <font>
      <color rgb="FF6B7280"/>
      <sz val="11"/>
    </font>
    <font>
      <b val="1"/>
      <color rgb="FF1E3A8A"/>
      <sz val="14"/>
    </font>
    <font>
      <b val="1"/>
      <color rgb="FFEF4444"/>
      <sz val="12"/>
    </font>
    <font>
      <b val="1"/>
      <color rgb="FF3B82F6"/>
      <sz val="12"/>
    </font>
  </fonts>
  <fills count="8">
    <fill>
      <patternFill/>
    </fill>
    <fill>
      <patternFill patternType="gray125"/>
    </fill>
    <fill>
      <patternFill patternType="solid">
        <fgColor rgb="FFFFF4E6"/>
        <bgColor rgb="FFFFF4E6"/>
      </patternFill>
    </fill>
    <fill>
      <patternFill patternType="solid">
        <fgColor rgb="FF3B82F6"/>
        <bgColor rgb="FF3B82F6"/>
      </patternFill>
    </fill>
    <fill>
      <patternFill patternType="solid">
        <fgColor rgb="FFF9FAFB"/>
        <bgColor rgb="FFF9FAFB"/>
      </patternFill>
    </fill>
    <fill>
      <patternFill patternType="solid">
        <fgColor rgb="FF10B981"/>
        <bgColor rgb="FF10B981"/>
      </patternFill>
    </fill>
    <fill>
      <patternFill patternType="solid">
        <fgColor rgb="FFEF4444"/>
        <bgColor rgb="FFEF4444"/>
      </patternFill>
    </fill>
    <fill>
      <patternFill patternType="solid">
        <fgColor rgb="FF1E3A8A"/>
        <b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2" fillId="7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8" fillId="3" borderId="0" pivotButton="0" quotePrefix="0" xfId="0"/>
    <xf numFmtId="164" fontId="4" fillId="0" borderId="0" pivotButton="0" quotePrefix="0" xfId="0"/>
    <xf numFmtId="0" fontId="4" fillId="0" borderId="0" pivotButton="0" quotePrefix="0" xfId="0"/>
    <xf numFmtId="0" fontId="15" fillId="0" borderId="0" pivotButton="0" quotePrefix="0" xfId="0"/>
    <xf numFmtId="164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0" fontId="5" fillId="0" borderId="0" pivotButton="0" quotePrefix="0" xfId="0"/>
    <xf numFmtId="165" fontId="4" fillId="2" borderId="0" pivotButton="0" quotePrefix="0" xfId="0"/>
    <xf numFmtId="0" fontId="4" fillId="2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9" fillId="0" borderId="0" pivotButton="0" quotePrefix="0" xfId="0"/>
    <xf numFmtId="164" fontId="0" fillId="0" borderId="0" pivotButton="0" quotePrefix="0" xfId="0"/>
    <xf numFmtId="164" fontId="4" fillId="4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5" borderId="0" pivotButton="0" quotePrefix="0" xfId="0"/>
    <xf numFmtId="0" fontId="6" fillId="6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CASH FLOW FORECASTER</t>
        </is>
      </c>
    </row>
    <row r="2">
      <c r="A2" s="2" t="inlineStr">
        <is>
          <t>12-Month Cash Flow Projection &amp; Scenario Planning</t>
        </is>
      </c>
    </row>
    <row r="4">
      <c r="A4" s="3" t="inlineStr">
        <is>
          <t>EXECUTIVE SUMMARY</t>
        </is>
      </c>
    </row>
    <row r="6">
      <c r="A6" s="4" t="inlineStr">
        <is>
          <t>Metric</t>
        </is>
      </c>
      <c r="B6" s="4" t="inlineStr">
        <is>
          <t>Realistic Scenario</t>
        </is>
      </c>
      <c r="C6" s="4" t="inlineStr">
        <is>
          <t>Optimistic</t>
        </is>
      </c>
      <c r="D6" s="4" t="inlineStr">
        <is>
          <t>Pessimistic</t>
        </is>
      </c>
    </row>
    <row r="7">
      <c r="A7" t="inlineStr">
        <is>
          <t>Starting Cash Balance</t>
        </is>
      </c>
      <c r="B7" s="5">
        <f>Inputs!B5</f>
        <v/>
      </c>
      <c r="C7" s="5">
        <f>Inputs!B5</f>
        <v/>
      </c>
      <c r="D7" s="5">
        <f>Inputs!B5</f>
        <v/>
      </c>
    </row>
    <row r="8">
      <c r="A8" t="inlineStr">
        <is>
          <t>Total Cash Inflows (12mo)</t>
        </is>
      </c>
      <c r="B8" s="5">
        <f>SUM(Realistic!C5:N5)</f>
        <v/>
      </c>
      <c r="C8" s="5">
        <f>SUM(Optimistic!C5:N5)</f>
        <v/>
      </c>
      <c r="D8" s="5">
        <f>SUM(Pessimistic!C5:N5)</f>
        <v/>
      </c>
    </row>
    <row r="9">
      <c r="A9" t="inlineStr">
        <is>
          <t>Total Cash Outflows (12mo)</t>
        </is>
      </c>
      <c r="B9" s="5">
        <f>SUM(Realistic!C20:N20)</f>
        <v/>
      </c>
      <c r="C9" s="5">
        <f>SUM(Optimistic!C20:N20)</f>
        <v/>
      </c>
      <c r="D9" s="5">
        <f>SUM(Pessimistic!C20:N20)</f>
        <v/>
      </c>
    </row>
    <row r="10">
      <c r="A10" t="inlineStr">
        <is>
          <t>Net Cash Flow</t>
        </is>
      </c>
      <c r="B10" s="5">
        <f>B8-B9</f>
        <v/>
      </c>
      <c r="C10" s="5">
        <f>C8-C9</f>
        <v/>
      </c>
      <c r="D10" s="5">
        <f>D8-D9</f>
        <v/>
      </c>
    </row>
    <row r="11">
      <c r="A11" t="inlineStr">
        <is>
          <t>Ending Cash Balance</t>
        </is>
      </c>
      <c r="B11" s="5">
        <f>B7+B10</f>
        <v/>
      </c>
      <c r="C11" s="5">
        <f>C7+C10</f>
        <v/>
      </c>
      <c r="D11" s="5">
        <f>D7+D10</f>
        <v/>
      </c>
    </row>
    <row r="12">
      <c r="A12" t="inlineStr">
        <is>
          <t>Lowest Cash Point</t>
        </is>
      </c>
      <c r="B12" s="5">
        <f>MIN(Realistic!C22:N22)</f>
        <v/>
      </c>
      <c r="C12" s="5">
        <f>MIN(Optimistic!C22:N22)</f>
        <v/>
      </c>
      <c r="D12" s="5">
        <f>MIN(Pessimistic!C22:N22)</f>
        <v/>
      </c>
    </row>
    <row r="13">
      <c r="A13" t="inlineStr">
        <is>
          <t>Month of Lowest Cash</t>
        </is>
      </c>
      <c r="B13" s="6">
        <f>INDEX(Realistic!C4:N4,MATCH(B12,Realistic!C22:N22,0))</f>
        <v/>
      </c>
      <c r="C13" s="6">
        <f>INDEX(Optimistic!C4:N4,MATCH(C12,Optimistic!C22:N22,0))</f>
        <v/>
      </c>
      <c r="D13" s="6">
        <f>INDEX(Pessimistic!C4:N4,MATCH(D12,Pessimistic!C22:N22,0))</f>
        <v/>
      </c>
    </row>
    <row r="16">
      <c r="A16" s="7" t="inlineStr">
        <is>
          <t>⚠️ CASH SHORTAGE ALERTS</t>
        </is>
      </c>
    </row>
    <row r="17">
      <c r="A17" t="inlineStr">
        <is>
          <t>If cash balance drops below:</t>
        </is>
      </c>
      <c r="B17" s="8">
        <f>Inputs!B6</f>
        <v/>
      </c>
    </row>
    <row r="18">
      <c r="A18" t="inlineStr">
        <is>
          <t>Alert Status (Realistic):</t>
        </is>
      </c>
      <c r="B18" s="6">
        <f>IF(Dashboard!B12&lt;Dashboard!B16,"🔴 ACTION REQUIRED","✅ On Track")</f>
        <v/>
      </c>
    </row>
    <row r="19">
      <c r="A19" t="inlineStr">
        <is>
          <t>Recommended Action Date:</t>
        </is>
      </c>
      <c r="B19">
        <f>IF(B17="🔴 ACTION REQUIRED",Dashboard!B13&amp;" - Start fundraising 60 days prior","N/A")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0" customWidth="1" min="4" max="4"/>
  </cols>
  <sheetData>
    <row r="1">
      <c r="A1" s="9" t="inlineStr">
        <is>
          <t>DATA INPUTS</t>
        </is>
      </c>
    </row>
    <row r="2">
      <c r="A2" s="10" t="inlineStr">
        <is>
          <t>Enter your business data in the YELLOW cells</t>
        </is>
      </c>
    </row>
    <row r="4">
      <c r="A4" s="11" t="inlineStr">
        <is>
          <t>BUSINESS INFORMATION</t>
        </is>
      </c>
    </row>
    <row r="5">
      <c r="A5" t="inlineStr">
        <is>
          <t>Starting Cash Balance</t>
        </is>
      </c>
      <c r="B5" s="12" t="n">
        <v>50000</v>
      </c>
      <c r="D5" s="13" t="inlineStr">
        <is>
          <t>How much cash you have today</t>
        </is>
      </c>
    </row>
    <row r="6">
      <c r="A6" t="inlineStr">
        <is>
          <t>Minimum Cash Alert Level</t>
        </is>
      </c>
      <c r="B6" s="12" t="n">
        <v>15000</v>
      </c>
      <c r="D6" s="13" t="inlineStr">
        <is>
          <t>Alert when cash drops below this</t>
        </is>
      </c>
    </row>
    <row r="7">
      <c r="A7" t="inlineStr"/>
      <c r="D7" s="13" t="inlineStr"/>
    </row>
    <row r="8">
      <c r="A8" s="11" t="inlineStr">
        <is>
          <t>REVENUE ASSUMPTIONS</t>
        </is>
      </c>
      <c r="D8" s="13" t="inlineStr"/>
    </row>
    <row r="9">
      <c r="A9" t="inlineStr">
        <is>
          <t>Monthly Revenue (Current)</t>
        </is>
      </c>
      <c r="B9" s="12" t="n">
        <v>25000</v>
      </c>
      <c r="D9" s="13" t="inlineStr">
        <is>
          <t>Your current monthly revenue</t>
        </is>
      </c>
    </row>
    <row r="10">
      <c r="A10" t="inlineStr">
        <is>
          <t>Revenue Growth Rate (Optimistic)</t>
        </is>
      </c>
      <c r="B10" s="14" t="n">
        <v>0.15</v>
      </c>
      <c r="D10" s="13" t="inlineStr">
        <is>
          <t>15% = 0.15</t>
        </is>
      </c>
    </row>
    <row r="11">
      <c r="A11" t="inlineStr">
        <is>
          <t>Revenue Growth Rate (Realistic)</t>
        </is>
      </c>
      <c r="B11" s="14" t="n">
        <v>0.08</v>
      </c>
      <c r="D11" s="13" t="inlineStr">
        <is>
          <t>8% = 0.08</t>
        </is>
      </c>
    </row>
    <row r="12">
      <c r="A12" t="inlineStr">
        <is>
          <t>Revenue Growth Rate (Pessimistic)</t>
        </is>
      </c>
      <c r="B12" s="14" t="n">
        <v>0.03</v>
      </c>
      <c r="D12" s="13" t="inlineStr">
        <is>
          <t>3% = 0.03</t>
        </is>
      </c>
    </row>
    <row r="13">
      <c r="A13" t="inlineStr">
        <is>
          <t>Seasonal Factor - Q1</t>
        </is>
      </c>
      <c r="B13" s="14" t="n">
        <v>0.85</v>
      </c>
      <c r="D13" s="13" t="inlineStr">
        <is>
          <t>0.85 = 15% below average</t>
        </is>
      </c>
    </row>
    <row r="14">
      <c r="A14" t="inlineStr">
        <is>
          <t>Seasonal Factor - Q2</t>
        </is>
      </c>
      <c r="B14" s="14" t="n">
        <v>1</v>
      </c>
      <c r="D14" s="13" t="inlineStr">
        <is>
          <t>1.00 = average</t>
        </is>
      </c>
    </row>
    <row r="15">
      <c r="A15" t="inlineStr">
        <is>
          <t>Seasonal Factor - Q3</t>
        </is>
      </c>
      <c r="B15" s="14" t="n">
        <v>0.95</v>
      </c>
      <c r="D15" s="13" t="inlineStr">
        <is>
          <t>0.95 = 5% below average</t>
        </is>
      </c>
    </row>
    <row r="16">
      <c r="A16" t="inlineStr">
        <is>
          <t>Seasonal Factor - Q4</t>
        </is>
      </c>
      <c r="B16" s="14" t="n">
        <v>1.2</v>
      </c>
      <c r="D16" s="13" t="inlineStr">
        <is>
          <t>1.20 = 20% above average</t>
        </is>
      </c>
    </row>
    <row r="17">
      <c r="A17" t="inlineStr"/>
      <c r="D17" s="13" t="inlineStr"/>
    </row>
    <row r="18">
      <c r="A18" s="11" t="inlineStr">
        <is>
          <t>EXPENSE ASSUMPTIONS</t>
        </is>
      </c>
      <c r="D18" s="13" t="inlineStr"/>
    </row>
    <row r="19">
      <c r="A19" t="inlineStr">
        <is>
          <t>Monthly Operating Expenses</t>
        </is>
      </c>
      <c r="B19" s="12" t="n">
        <v>18000</v>
      </c>
      <c r="D19" s="13" t="inlineStr">
        <is>
          <t>Rent, payroll, utilities, etc.</t>
        </is>
      </c>
    </row>
    <row r="20">
      <c r="A20" t="inlineStr">
        <is>
          <t>Expense Growth Rate (Annual)</t>
        </is>
      </c>
      <c r="B20" s="14" t="n">
        <v>0.05</v>
      </c>
      <c r="D20" s="13" t="inlineStr">
        <is>
          <t>5% = 0.05</t>
        </is>
      </c>
    </row>
    <row r="21">
      <c r="A21" t="inlineStr">
        <is>
          <t>One-time Expenses (if any)</t>
        </is>
      </c>
      <c r="B21" s="12" t="n">
        <v>0</v>
      </c>
      <c r="D21" s="13" t="inlineStr">
        <is>
          <t>Equipment, hiring, etc.</t>
        </is>
      </c>
    </row>
    <row r="22">
      <c r="A22" t="inlineStr">
        <is>
          <t>One-time Expense Month</t>
        </is>
      </c>
      <c r="B22" s="15" t="n">
        <v>6</v>
      </c>
      <c r="D22" s="13" t="inlineStr">
        <is>
          <t>Month 1-12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6" t="inlineStr">
        <is>
          <t>REALISTIC SCENARIO</t>
        </is>
      </c>
    </row>
    <row r="2">
      <c r="A2" s="17" t="inlineStr">
        <is>
          <t>12-Month Cash Flow Projection</t>
        </is>
      </c>
    </row>
    <row r="4">
      <c r="A4" t="inlineStr">
        <is>
          <t>Month</t>
        </is>
      </c>
      <c r="B4" t="inlineStr">
        <is>
          <t>Starting</t>
        </is>
      </c>
      <c r="C4" s="4" t="inlineStr">
        <is>
          <t>Jan 2026</t>
        </is>
      </c>
      <c r="D4" s="4" t="inlineStr">
        <is>
          <t>Jan 2026</t>
        </is>
      </c>
      <c r="E4" s="4" t="inlineStr">
        <is>
          <t>Mar 2026</t>
        </is>
      </c>
      <c r="F4" s="4" t="inlineStr">
        <is>
          <t>Apr 2026</t>
        </is>
      </c>
      <c r="G4" s="4" t="inlineStr">
        <is>
          <t>May 2026</t>
        </is>
      </c>
      <c r="H4" s="4" t="inlineStr">
        <is>
          <t>May 2026</t>
        </is>
      </c>
      <c r="I4" s="4" t="inlineStr">
        <is>
          <t>Jun 2026</t>
        </is>
      </c>
      <c r="J4" s="4" t="inlineStr">
        <is>
          <t>Jul 2026</t>
        </is>
      </c>
      <c r="K4" s="4" t="inlineStr">
        <is>
          <t>Aug 2026</t>
        </is>
      </c>
      <c r="L4" s="4" t="inlineStr">
        <is>
          <t>Sep 2026</t>
        </is>
      </c>
      <c r="M4" s="4" t="inlineStr">
        <is>
          <t>Oct 2026</t>
        </is>
      </c>
      <c r="N4" s="4" t="inlineStr">
        <is>
          <t>Nov 2026</t>
        </is>
      </c>
    </row>
    <row r="5">
      <c r="A5" s="18" t="inlineStr">
        <is>
          <t>CASH INFLOWS</t>
        </is>
      </c>
    </row>
    <row r="6">
      <c r="A6" t="inlineStr">
        <is>
          <t>Revenue (with seasonality)</t>
        </is>
      </c>
      <c r="C6" s="19">
        <f>Inputs!$B$9*Inputs!$B$10</f>
        <v/>
      </c>
      <c r="D6" s="19">
        <f>C6*(1+Inputs!$B$11)*Inputs!$B$10</f>
        <v/>
      </c>
      <c r="E6" s="19">
        <f>D6*(1+Inputs!$B$11)*Inputs!$B$10</f>
        <v/>
      </c>
      <c r="F6" s="19">
        <f>E6*(1+Inputs!$B$11)*Inputs!$B$11</f>
        <v/>
      </c>
      <c r="G6" s="19">
        <f>F6*(1+Inputs!$B$11)*Inputs!$B$11</f>
        <v/>
      </c>
      <c r="H6" s="19">
        <f>G6*(1+Inputs!$B$11)*Inputs!$B$11</f>
        <v/>
      </c>
      <c r="I6" s="19">
        <f>H6*(1+Inputs!$B$11)*Inputs!$B$12</f>
        <v/>
      </c>
      <c r="J6" s="19">
        <f>I6*(1+Inputs!$B$11)*Inputs!$B$12</f>
        <v/>
      </c>
      <c r="K6" s="19">
        <f>J6*(1+Inputs!$B$11)*Inputs!$B$12</f>
        <v/>
      </c>
      <c r="L6" s="19">
        <f>K6*(1+Inputs!$B$11)*Inputs!$B$13</f>
        <v/>
      </c>
      <c r="M6" s="19">
        <f>L6*(1+Inputs!$B$11)*Inputs!$B$13</f>
        <v/>
      </c>
      <c r="N6" s="19">
        <f>M6*(1+Inputs!$B$11)*Inputs!$B$13</f>
        <v/>
      </c>
    </row>
    <row r="7">
      <c r="A7" t="inlineStr">
        <is>
          <t>Other Income</t>
        </is>
      </c>
      <c r="C7" s="19" t="n">
        <v>0</v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0</v>
      </c>
    </row>
    <row r="8">
      <c r="A8" s="6" t="inlineStr">
        <is>
          <t>Total Inflows</t>
        </is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  <c r="G8" s="20">
        <f>G6+G7</f>
        <v/>
      </c>
      <c r="H8" s="20">
        <f>H6+H7</f>
        <v/>
      </c>
      <c r="I8" s="20">
        <f>I6+I7</f>
        <v/>
      </c>
      <c r="J8" s="20">
        <f>J6+J7</f>
        <v/>
      </c>
      <c r="K8" s="20">
        <f>K6+K7</f>
        <v/>
      </c>
      <c r="L8" s="20">
        <f>L6+L7</f>
        <v/>
      </c>
      <c r="M8" s="20">
        <f>M6+M7</f>
        <v/>
      </c>
      <c r="N8" s="20">
        <f>N6+N7</f>
        <v/>
      </c>
    </row>
    <row r="10">
      <c r="A10" s="21" t="inlineStr">
        <is>
          <t>CASH OUTFLOWS</t>
        </is>
      </c>
    </row>
    <row r="11">
      <c r="A11" t="inlineStr">
        <is>
          <t>Operating Expenses</t>
        </is>
      </c>
      <c r="C11" s="19">
        <f>Inputs!$B$19*(1+Inputs!$B$20/12)^0</f>
        <v/>
      </c>
      <c r="D11" s="19">
        <f>Inputs!$B$19*(1+Inputs!$B$20/12)^1</f>
        <v/>
      </c>
      <c r="E11" s="19">
        <f>Inputs!$B$19*(1+Inputs!$B$20/12)^2</f>
        <v/>
      </c>
      <c r="F11" s="19">
        <f>Inputs!$B$19*(1+Inputs!$B$20/12)^3</f>
        <v/>
      </c>
      <c r="G11" s="19">
        <f>Inputs!$B$19*(1+Inputs!$B$20/12)^4</f>
        <v/>
      </c>
      <c r="H11" s="19">
        <f>Inputs!$B$19*(1+Inputs!$B$20/12)^5</f>
        <v/>
      </c>
      <c r="I11" s="19">
        <f>Inputs!$B$19*(1+Inputs!$B$20/12)^6</f>
        <v/>
      </c>
      <c r="J11" s="19">
        <f>Inputs!$B$19*(1+Inputs!$B$20/12)^7</f>
        <v/>
      </c>
      <c r="K11" s="19">
        <f>Inputs!$B$19*(1+Inputs!$B$20/12)^8</f>
        <v/>
      </c>
      <c r="L11" s="19">
        <f>Inputs!$B$19*(1+Inputs!$B$20/12)^9</f>
        <v/>
      </c>
      <c r="M11" s="19">
        <f>Inputs!$B$19*(1+Inputs!$B$20/12)^10</f>
        <v/>
      </c>
      <c r="N11" s="19">
        <f>Inputs!$B$19*(1+Inputs!$B$20/12)^11</f>
        <v/>
      </c>
    </row>
    <row r="12">
      <c r="A12" t="inlineStr">
        <is>
          <t>One-time Expenses</t>
        </is>
      </c>
      <c r="C12" s="19">
        <f>IF(1=Inputs!$B$22,Inputs!$B$21,0)</f>
        <v/>
      </c>
      <c r="D12" s="19">
        <f>IF(2=Inputs!$B$22,Inputs!$B$21,0)</f>
        <v/>
      </c>
      <c r="E12" s="19">
        <f>IF(3=Inputs!$B$22,Inputs!$B$21,0)</f>
        <v/>
      </c>
      <c r="F12" s="19">
        <f>IF(4=Inputs!$B$22,Inputs!$B$21,0)</f>
        <v/>
      </c>
      <c r="G12" s="19">
        <f>IF(5=Inputs!$B$22,Inputs!$B$21,0)</f>
        <v/>
      </c>
      <c r="H12" s="19">
        <f>IF(6=Inputs!$B$22,Inputs!$B$21,0)</f>
        <v/>
      </c>
      <c r="I12" s="19">
        <f>IF(7=Inputs!$B$22,Inputs!$B$21,0)</f>
        <v/>
      </c>
      <c r="J12" s="19">
        <f>IF(8=Inputs!$B$22,Inputs!$B$21,0)</f>
        <v/>
      </c>
      <c r="K12" s="19">
        <f>IF(9=Inputs!$B$22,Inputs!$B$21,0)</f>
        <v/>
      </c>
      <c r="L12" s="19">
        <f>IF(10=Inputs!$B$22,Inputs!$B$21,0)</f>
        <v/>
      </c>
      <c r="M12" s="19">
        <f>IF(11=Inputs!$B$22,Inputs!$B$21,0)</f>
        <v/>
      </c>
      <c r="N12" s="19">
        <f>IF(12=Inputs!$B$22,Inputs!$B$21,0)</f>
        <v/>
      </c>
    </row>
    <row r="13">
      <c r="A13" t="inlineStr">
        <is>
          <t>Marketing &amp; Sales</t>
        </is>
      </c>
      <c r="C13" s="19">
        <f>C6*0.15</f>
        <v/>
      </c>
      <c r="D13" s="19">
        <f>D6*0.15</f>
        <v/>
      </c>
      <c r="E13" s="19">
        <f>E6*0.15</f>
        <v/>
      </c>
      <c r="F13" s="19">
        <f>F6*0.15</f>
        <v/>
      </c>
      <c r="G13" s="19">
        <f>G6*0.15</f>
        <v/>
      </c>
      <c r="H13" s="19">
        <f>H6*0.15</f>
        <v/>
      </c>
      <c r="I13" s="19">
        <f>I6*0.15</f>
        <v/>
      </c>
      <c r="J13" s="19">
        <f>J6*0.15</f>
        <v/>
      </c>
      <c r="K13" s="19">
        <f>K6*0.15</f>
        <v/>
      </c>
      <c r="L13" s="19">
        <f>L6*0.15</f>
        <v/>
      </c>
      <c r="M13" s="19">
        <f>M6*0.15</f>
        <v/>
      </c>
      <c r="N13" s="19">
        <f>N6*0.15</f>
        <v/>
      </c>
    </row>
    <row r="14">
      <c r="A14" s="6" t="inlineStr">
        <is>
          <t>Total Outflows</t>
        </is>
      </c>
      <c r="C14" s="20">
        <f>SUM(C11:C13)</f>
        <v/>
      </c>
      <c r="D14" s="20">
        <f>SUM(D11:D13)</f>
        <v/>
      </c>
      <c r="E14" s="20">
        <f>SUM(E11:E13)</f>
        <v/>
      </c>
      <c r="F14" s="20">
        <f>SUM(F11:F13)</f>
        <v/>
      </c>
      <c r="G14" s="20">
        <f>SUM(G11:G13)</f>
        <v/>
      </c>
      <c r="H14" s="20">
        <f>SUM(H11:H13)</f>
        <v/>
      </c>
      <c r="I14" s="20">
        <f>SUM(I11:I13)</f>
        <v/>
      </c>
      <c r="J14" s="20">
        <f>SUM(J11:J13)</f>
        <v/>
      </c>
      <c r="K14" s="20">
        <f>SUM(K11:K13)</f>
        <v/>
      </c>
      <c r="L14" s="20">
        <f>SUM(L11:L13)</f>
        <v/>
      </c>
      <c r="M14" s="20">
        <f>SUM(M11:M13)</f>
        <v/>
      </c>
      <c r="N14" s="20">
        <f>SUM(N11:N13)</f>
        <v/>
      </c>
    </row>
    <row r="16">
      <c r="A16" s="22" t="inlineStr">
        <is>
          <t>NET CASH FLOW</t>
        </is>
      </c>
      <c r="C16" s="5">
        <f>C8-C20</f>
        <v/>
      </c>
      <c r="D16" s="5">
        <f>D8-D20</f>
        <v/>
      </c>
      <c r="E16" s="5">
        <f>E8-E20</f>
        <v/>
      </c>
      <c r="F16" s="5">
        <f>F8-F20</f>
        <v/>
      </c>
      <c r="G16" s="5">
        <f>G8-G20</f>
        <v/>
      </c>
      <c r="H16" s="5">
        <f>H8-H20</f>
        <v/>
      </c>
      <c r="I16" s="5">
        <f>I8-I20</f>
        <v/>
      </c>
      <c r="J16" s="5">
        <f>J8-J20</f>
        <v/>
      </c>
      <c r="K16" s="5">
        <f>K8-K20</f>
        <v/>
      </c>
      <c r="L16" s="5">
        <f>L8-L20</f>
        <v/>
      </c>
      <c r="M16" s="5">
        <f>M8-M20</f>
        <v/>
      </c>
      <c r="N16" s="5">
        <f>N8-N20</f>
        <v/>
      </c>
    </row>
    <row r="17">
      <c r="A17" s="22" t="inlineStr">
        <is>
          <t>ENDING CASH BALANCE</t>
        </is>
      </c>
      <c r="B17" s="5">
        <f>Inputs!$B$5</f>
        <v/>
      </c>
      <c r="C17" s="20">
        <f>B17+C16</f>
        <v/>
      </c>
      <c r="D17" s="20">
        <f>C17+D16</f>
        <v/>
      </c>
      <c r="E17" s="20">
        <f>D17+E16</f>
        <v/>
      </c>
      <c r="F17" s="20">
        <f>E17+F16</f>
        <v/>
      </c>
      <c r="G17" s="20">
        <f>F17+G16</f>
        <v/>
      </c>
      <c r="H17" s="20">
        <f>G17+H16</f>
        <v/>
      </c>
      <c r="I17" s="20">
        <f>H17+I16</f>
        <v/>
      </c>
      <c r="J17" s="20">
        <f>I17+J16</f>
        <v/>
      </c>
      <c r="K17" s="20">
        <f>J17+K16</f>
        <v/>
      </c>
      <c r="L17" s="20">
        <f>K17+L16</f>
        <v/>
      </c>
      <c r="M17" s="20">
        <f>L17+M16</f>
        <v/>
      </c>
      <c r="N17" s="20">
        <f>M17+N16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23" t="inlineStr">
        <is>
          <t>OPTIMISTIC SCENARIO</t>
        </is>
      </c>
    </row>
    <row r="2">
      <c r="A2" s="17" t="inlineStr">
        <is>
          <t>12-Month Cash Flow Projection</t>
        </is>
      </c>
    </row>
    <row r="4">
      <c r="A4" t="inlineStr">
        <is>
          <t>Month</t>
        </is>
      </c>
      <c r="B4" t="inlineStr">
        <is>
          <t>Starting</t>
        </is>
      </c>
      <c r="C4" s="4" t="inlineStr">
        <is>
          <t>Jan 2026</t>
        </is>
      </c>
      <c r="D4" s="4" t="inlineStr">
        <is>
          <t>Jan 2026</t>
        </is>
      </c>
      <c r="E4" s="4" t="inlineStr">
        <is>
          <t>Mar 2026</t>
        </is>
      </c>
      <c r="F4" s="4" t="inlineStr">
        <is>
          <t>Apr 2026</t>
        </is>
      </c>
      <c r="G4" s="4" t="inlineStr">
        <is>
          <t>May 2026</t>
        </is>
      </c>
      <c r="H4" s="4" t="inlineStr">
        <is>
          <t>May 2026</t>
        </is>
      </c>
      <c r="I4" s="4" t="inlineStr">
        <is>
          <t>Jun 2026</t>
        </is>
      </c>
      <c r="J4" s="4" t="inlineStr">
        <is>
          <t>Jul 2026</t>
        </is>
      </c>
      <c r="K4" s="4" t="inlineStr">
        <is>
          <t>Aug 2026</t>
        </is>
      </c>
      <c r="L4" s="4" t="inlineStr">
        <is>
          <t>Sep 2026</t>
        </is>
      </c>
      <c r="M4" s="4" t="inlineStr">
        <is>
          <t>Oct 2026</t>
        </is>
      </c>
      <c r="N4" s="4" t="inlineStr">
        <is>
          <t>Nov 2026</t>
        </is>
      </c>
    </row>
    <row r="5">
      <c r="A5" s="18" t="inlineStr">
        <is>
          <t>CASH INFLOWS</t>
        </is>
      </c>
    </row>
    <row r="6">
      <c r="A6" t="inlineStr">
        <is>
          <t>Revenue (with seasonality)</t>
        </is>
      </c>
      <c r="C6" s="19">
        <f>Inputs!$B$9*Inputs!$B$10</f>
        <v/>
      </c>
      <c r="D6" s="19">
        <f>C6*(1+Inputs!$B$10)*Inputs!$B$10</f>
        <v/>
      </c>
      <c r="E6" s="19">
        <f>D6*(1+Inputs!$B$10)*Inputs!$B$10</f>
        <v/>
      </c>
      <c r="F6" s="19">
        <f>E6*(1+Inputs!$B$10)*Inputs!$B$11</f>
        <v/>
      </c>
      <c r="G6" s="19">
        <f>F6*(1+Inputs!$B$10)*Inputs!$B$11</f>
        <v/>
      </c>
      <c r="H6" s="19">
        <f>G6*(1+Inputs!$B$10)*Inputs!$B$11</f>
        <v/>
      </c>
      <c r="I6" s="19">
        <f>H6*(1+Inputs!$B$10)*Inputs!$B$12</f>
        <v/>
      </c>
      <c r="J6" s="19">
        <f>I6*(1+Inputs!$B$10)*Inputs!$B$12</f>
        <v/>
      </c>
      <c r="K6" s="19">
        <f>J6*(1+Inputs!$B$10)*Inputs!$B$12</f>
        <v/>
      </c>
      <c r="L6" s="19">
        <f>K6*(1+Inputs!$B$10)*Inputs!$B$13</f>
        <v/>
      </c>
      <c r="M6" s="19">
        <f>L6*(1+Inputs!$B$10)*Inputs!$B$13</f>
        <v/>
      </c>
      <c r="N6" s="19">
        <f>M6*(1+Inputs!$B$10)*Inputs!$B$13</f>
        <v/>
      </c>
    </row>
    <row r="7">
      <c r="A7" t="inlineStr">
        <is>
          <t>Other Income</t>
        </is>
      </c>
      <c r="C7" s="19" t="n">
        <v>0</v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0</v>
      </c>
    </row>
    <row r="8">
      <c r="A8" s="6" t="inlineStr">
        <is>
          <t>Total Inflows</t>
        </is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  <c r="G8" s="20">
        <f>G6+G7</f>
        <v/>
      </c>
      <c r="H8" s="20">
        <f>H6+H7</f>
        <v/>
      </c>
      <c r="I8" s="20">
        <f>I6+I7</f>
        <v/>
      </c>
      <c r="J8" s="20">
        <f>J6+J7</f>
        <v/>
      </c>
      <c r="K8" s="20">
        <f>K6+K7</f>
        <v/>
      </c>
      <c r="L8" s="20">
        <f>L6+L7</f>
        <v/>
      </c>
      <c r="M8" s="20">
        <f>M6+M7</f>
        <v/>
      </c>
      <c r="N8" s="20">
        <f>N6+N7</f>
        <v/>
      </c>
    </row>
    <row r="10">
      <c r="A10" s="21" t="inlineStr">
        <is>
          <t>CASH OUTFLOWS</t>
        </is>
      </c>
    </row>
    <row r="11">
      <c r="A11" t="inlineStr">
        <is>
          <t>Operating Expenses</t>
        </is>
      </c>
      <c r="C11" s="19">
        <f>Inputs!$B$19*(1+Inputs!$B$20/12)^0</f>
        <v/>
      </c>
      <c r="D11" s="19">
        <f>Inputs!$B$19*(1+Inputs!$B$20/12)^1</f>
        <v/>
      </c>
      <c r="E11" s="19">
        <f>Inputs!$B$19*(1+Inputs!$B$20/12)^2</f>
        <v/>
      </c>
      <c r="F11" s="19">
        <f>Inputs!$B$19*(1+Inputs!$B$20/12)^3</f>
        <v/>
      </c>
      <c r="G11" s="19">
        <f>Inputs!$B$19*(1+Inputs!$B$20/12)^4</f>
        <v/>
      </c>
      <c r="H11" s="19">
        <f>Inputs!$B$19*(1+Inputs!$B$20/12)^5</f>
        <v/>
      </c>
      <c r="I11" s="19">
        <f>Inputs!$B$19*(1+Inputs!$B$20/12)^6</f>
        <v/>
      </c>
      <c r="J11" s="19">
        <f>Inputs!$B$19*(1+Inputs!$B$20/12)^7</f>
        <v/>
      </c>
      <c r="K11" s="19">
        <f>Inputs!$B$19*(1+Inputs!$B$20/12)^8</f>
        <v/>
      </c>
      <c r="L11" s="19">
        <f>Inputs!$B$19*(1+Inputs!$B$20/12)^9</f>
        <v/>
      </c>
      <c r="M11" s="19">
        <f>Inputs!$B$19*(1+Inputs!$B$20/12)^10</f>
        <v/>
      </c>
      <c r="N11" s="19">
        <f>Inputs!$B$19*(1+Inputs!$B$20/12)^11</f>
        <v/>
      </c>
    </row>
    <row r="12">
      <c r="A12" t="inlineStr">
        <is>
          <t>One-time Expenses</t>
        </is>
      </c>
      <c r="C12" s="19">
        <f>IF(1=Inputs!$B$22,Inputs!$B$21,0)</f>
        <v/>
      </c>
      <c r="D12" s="19">
        <f>IF(2=Inputs!$B$22,Inputs!$B$21,0)</f>
        <v/>
      </c>
      <c r="E12" s="19">
        <f>IF(3=Inputs!$B$22,Inputs!$B$21,0)</f>
        <v/>
      </c>
      <c r="F12" s="19">
        <f>IF(4=Inputs!$B$22,Inputs!$B$21,0)</f>
        <v/>
      </c>
      <c r="G12" s="19">
        <f>IF(5=Inputs!$B$22,Inputs!$B$21,0)</f>
        <v/>
      </c>
      <c r="H12" s="19">
        <f>IF(6=Inputs!$B$22,Inputs!$B$21,0)</f>
        <v/>
      </c>
      <c r="I12" s="19">
        <f>IF(7=Inputs!$B$22,Inputs!$B$21,0)</f>
        <v/>
      </c>
      <c r="J12" s="19">
        <f>IF(8=Inputs!$B$22,Inputs!$B$21,0)</f>
        <v/>
      </c>
      <c r="K12" s="19">
        <f>IF(9=Inputs!$B$22,Inputs!$B$21,0)</f>
        <v/>
      </c>
      <c r="L12" s="19">
        <f>IF(10=Inputs!$B$22,Inputs!$B$21,0)</f>
        <v/>
      </c>
      <c r="M12" s="19">
        <f>IF(11=Inputs!$B$22,Inputs!$B$21,0)</f>
        <v/>
      </c>
      <c r="N12" s="19">
        <f>IF(12=Inputs!$B$22,Inputs!$B$21,0)</f>
        <v/>
      </c>
    </row>
    <row r="13">
      <c r="A13" t="inlineStr">
        <is>
          <t>Marketing &amp; Sales</t>
        </is>
      </c>
      <c r="C13" s="19">
        <f>C6*0.15</f>
        <v/>
      </c>
      <c r="D13" s="19">
        <f>D6*0.15</f>
        <v/>
      </c>
      <c r="E13" s="19">
        <f>E6*0.15</f>
        <v/>
      </c>
      <c r="F13" s="19">
        <f>F6*0.15</f>
        <v/>
      </c>
      <c r="G13" s="19">
        <f>G6*0.15</f>
        <v/>
      </c>
      <c r="H13" s="19">
        <f>H6*0.15</f>
        <v/>
      </c>
      <c r="I13" s="19">
        <f>I6*0.15</f>
        <v/>
      </c>
      <c r="J13" s="19">
        <f>J6*0.15</f>
        <v/>
      </c>
      <c r="K13" s="19">
        <f>K6*0.15</f>
        <v/>
      </c>
      <c r="L13" s="19">
        <f>L6*0.15</f>
        <v/>
      </c>
      <c r="M13" s="19">
        <f>M6*0.15</f>
        <v/>
      </c>
      <c r="N13" s="19">
        <f>N6*0.15</f>
        <v/>
      </c>
    </row>
    <row r="14">
      <c r="A14" s="6" t="inlineStr">
        <is>
          <t>Total Outflows</t>
        </is>
      </c>
      <c r="C14" s="20">
        <f>SUM(C11:C13)</f>
        <v/>
      </c>
      <c r="D14" s="20">
        <f>SUM(D11:D13)</f>
        <v/>
      </c>
      <c r="E14" s="20">
        <f>SUM(E11:E13)</f>
        <v/>
      </c>
      <c r="F14" s="20">
        <f>SUM(F11:F13)</f>
        <v/>
      </c>
      <c r="G14" s="20">
        <f>SUM(G11:G13)</f>
        <v/>
      </c>
      <c r="H14" s="20">
        <f>SUM(H11:H13)</f>
        <v/>
      </c>
      <c r="I14" s="20">
        <f>SUM(I11:I13)</f>
        <v/>
      </c>
      <c r="J14" s="20">
        <f>SUM(J11:J13)</f>
        <v/>
      </c>
      <c r="K14" s="20">
        <f>SUM(K11:K13)</f>
        <v/>
      </c>
      <c r="L14" s="20">
        <f>SUM(L11:L13)</f>
        <v/>
      </c>
      <c r="M14" s="20">
        <f>SUM(M11:M13)</f>
        <v/>
      </c>
      <c r="N14" s="20">
        <f>SUM(N11:N13)</f>
        <v/>
      </c>
    </row>
    <row r="16">
      <c r="A16" s="22" t="inlineStr">
        <is>
          <t>NET CASH FLOW</t>
        </is>
      </c>
      <c r="C16" s="5">
        <f>C8-C20</f>
        <v/>
      </c>
      <c r="D16" s="5">
        <f>D8-D20</f>
        <v/>
      </c>
      <c r="E16" s="5">
        <f>E8-E20</f>
        <v/>
      </c>
      <c r="F16" s="5">
        <f>F8-F20</f>
        <v/>
      </c>
      <c r="G16" s="5">
        <f>G8-G20</f>
        <v/>
      </c>
      <c r="H16" s="5">
        <f>H8-H20</f>
        <v/>
      </c>
      <c r="I16" s="5">
        <f>I8-I20</f>
        <v/>
      </c>
      <c r="J16" s="5">
        <f>J8-J20</f>
        <v/>
      </c>
      <c r="K16" s="5">
        <f>K8-K20</f>
        <v/>
      </c>
      <c r="L16" s="5">
        <f>L8-L20</f>
        <v/>
      </c>
      <c r="M16" s="5">
        <f>M8-M20</f>
        <v/>
      </c>
      <c r="N16" s="5">
        <f>N8-N20</f>
        <v/>
      </c>
    </row>
    <row r="17">
      <c r="A17" s="22" t="inlineStr">
        <is>
          <t>ENDING CASH BALANCE</t>
        </is>
      </c>
      <c r="B17" s="5">
        <f>Inputs!$B$5</f>
        <v/>
      </c>
      <c r="C17" s="20">
        <f>B17+C16</f>
        <v/>
      </c>
      <c r="D17" s="20">
        <f>C17+D16</f>
        <v/>
      </c>
      <c r="E17" s="20">
        <f>D17+E16</f>
        <v/>
      </c>
      <c r="F17" s="20">
        <f>E17+F16</f>
        <v/>
      </c>
      <c r="G17" s="20">
        <f>F17+G16</f>
        <v/>
      </c>
      <c r="H17" s="20">
        <f>G17+H16</f>
        <v/>
      </c>
      <c r="I17" s="20">
        <f>H17+I16</f>
        <v/>
      </c>
      <c r="J17" s="20">
        <f>I17+J16</f>
        <v/>
      </c>
      <c r="K17" s="20">
        <f>J17+K16</f>
        <v/>
      </c>
      <c r="L17" s="20">
        <f>K17+L16</f>
        <v/>
      </c>
      <c r="M17" s="20">
        <f>L17+M16</f>
        <v/>
      </c>
      <c r="N17" s="20">
        <f>M17+N16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24" t="inlineStr">
        <is>
          <t>PESSIMISTIC SCENARIO</t>
        </is>
      </c>
    </row>
    <row r="2">
      <c r="A2" s="17" t="inlineStr">
        <is>
          <t>12-Month Cash Flow Projection</t>
        </is>
      </c>
    </row>
    <row r="4">
      <c r="A4" t="inlineStr">
        <is>
          <t>Month</t>
        </is>
      </c>
      <c r="B4" t="inlineStr">
        <is>
          <t>Starting</t>
        </is>
      </c>
      <c r="C4" s="4" t="inlineStr">
        <is>
          <t>Jan 2026</t>
        </is>
      </c>
      <c r="D4" s="4" t="inlineStr">
        <is>
          <t>Jan 2026</t>
        </is>
      </c>
      <c r="E4" s="4" t="inlineStr">
        <is>
          <t>Mar 2026</t>
        </is>
      </c>
      <c r="F4" s="4" t="inlineStr">
        <is>
          <t>Apr 2026</t>
        </is>
      </c>
      <c r="G4" s="4" t="inlineStr">
        <is>
          <t>May 2026</t>
        </is>
      </c>
      <c r="H4" s="4" t="inlineStr">
        <is>
          <t>May 2026</t>
        </is>
      </c>
      <c r="I4" s="4" t="inlineStr">
        <is>
          <t>Jun 2026</t>
        </is>
      </c>
      <c r="J4" s="4" t="inlineStr">
        <is>
          <t>Jul 2026</t>
        </is>
      </c>
      <c r="K4" s="4" t="inlineStr">
        <is>
          <t>Aug 2026</t>
        </is>
      </c>
      <c r="L4" s="4" t="inlineStr">
        <is>
          <t>Sep 2026</t>
        </is>
      </c>
      <c r="M4" s="4" t="inlineStr">
        <is>
          <t>Oct 2026</t>
        </is>
      </c>
      <c r="N4" s="4" t="inlineStr">
        <is>
          <t>Nov 2026</t>
        </is>
      </c>
    </row>
    <row r="5">
      <c r="A5" s="18" t="inlineStr">
        <is>
          <t>CASH INFLOWS</t>
        </is>
      </c>
    </row>
    <row r="6">
      <c r="A6" t="inlineStr">
        <is>
          <t>Revenue (with seasonality)</t>
        </is>
      </c>
      <c r="C6" s="19">
        <f>Inputs!$B$9*Inputs!$B$10</f>
        <v/>
      </c>
      <c r="D6" s="19">
        <f>C6*(1+Inputs!$B$12)*Inputs!$B$10</f>
        <v/>
      </c>
      <c r="E6" s="19">
        <f>D6*(1+Inputs!$B$12)*Inputs!$B$10</f>
        <v/>
      </c>
      <c r="F6" s="19">
        <f>E6*(1+Inputs!$B$12)*Inputs!$B$11</f>
        <v/>
      </c>
      <c r="G6" s="19">
        <f>F6*(1+Inputs!$B$12)*Inputs!$B$11</f>
        <v/>
      </c>
      <c r="H6" s="19">
        <f>G6*(1+Inputs!$B$12)*Inputs!$B$11</f>
        <v/>
      </c>
      <c r="I6" s="19">
        <f>H6*(1+Inputs!$B$12)*Inputs!$B$12</f>
        <v/>
      </c>
      <c r="J6" s="19">
        <f>I6*(1+Inputs!$B$12)*Inputs!$B$12</f>
        <v/>
      </c>
      <c r="K6" s="19">
        <f>J6*(1+Inputs!$B$12)*Inputs!$B$12</f>
        <v/>
      </c>
      <c r="L6" s="19">
        <f>K6*(1+Inputs!$B$12)*Inputs!$B$13</f>
        <v/>
      </c>
      <c r="M6" s="19">
        <f>L6*(1+Inputs!$B$12)*Inputs!$B$13</f>
        <v/>
      </c>
      <c r="N6" s="19">
        <f>M6*(1+Inputs!$B$12)*Inputs!$B$13</f>
        <v/>
      </c>
    </row>
    <row r="7">
      <c r="A7" t="inlineStr">
        <is>
          <t>Other Income</t>
        </is>
      </c>
      <c r="C7" s="19" t="n">
        <v>0</v>
      </c>
      <c r="D7" s="19" t="n">
        <v>0</v>
      </c>
      <c r="E7" s="19" t="n">
        <v>0</v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19" t="n">
        <v>0</v>
      </c>
    </row>
    <row r="8">
      <c r="A8" s="6" t="inlineStr">
        <is>
          <t>Total Inflows</t>
        </is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  <c r="G8" s="20">
        <f>G6+G7</f>
        <v/>
      </c>
      <c r="H8" s="20">
        <f>H6+H7</f>
        <v/>
      </c>
      <c r="I8" s="20">
        <f>I6+I7</f>
        <v/>
      </c>
      <c r="J8" s="20">
        <f>J6+J7</f>
        <v/>
      </c>
      <c r="K8" s="20">
        <f>K6+K7</f>
        <v/>
      </c>
      <c r="L8" s="20">
        <f>L6+L7</f>
        <v/>
      </c>
      <c r="M8" s="20">
        <f>M6+M7</f>
        <v/>
      </c>
      <c r="N8" s="20">
        <f>N6+N7</f>
        <v/>
      </c>
    </row>
    <row r="10">
      <c r="A10" s="21" t="inlineStr">
        <is>
          <t>CASH OUTFLOWS</t>
        </is>
      </c>
    </row>
    <row r="11">
      <c r="A11" t="inlineStr">
        <is>
          <t>Operating Expenses</t>
        </is>
      </c>
      <c r="C11" s="19">
        <f>Inputs!$B$19*(1+Inputs!$B$20/12)^0</f>
        <v/>
      </c>
      <c r="D11" s="19">
        <f>Inputs!$B$19*(1+Inputs!$B$20/12)^1</f>
        <v/>
      </c>
      <c r="E11" s="19">
        <f>Inputs!$B$19*(1+Inputs!$B$20/12)^2</f>
        <v/>
      </c>
      <c r="F11" s="19">
        <f>Inputs!$B$19*(1+Inputs!$B$20/12)^3</f>
        <v/>
      </c>
      <c r="G11" s="19">
        <f>Inputs!$B$19*(1+Inputs!$B$20/12)^4</f>
        <v/>
      </c>
      <c r="H11" s="19">
        <f>Inputs!$B$19*(1+Inputs!$B$20/12)^5</f>
        <v/>
      </c>
      <c r="I11" s="19">
        <f>Inputs!$B$19*(1+Inputs!$B$20/12)^6</f>
        <v/>
      </c>
      <c r="J11" s="19">
        <f>Inputs!$B$19*(1+Inputs!$B$20/12)^7</f>
        <v/>
      </c>
      <c r="K11" s="19">
        <f>Inputs!$B$19*(1+Inputs!$B$20/12)^8</f>
        <v/>
      </c>
      <c r="L11" s="19">
        <f>Inputs!$B$19*(1+Inputs!$B$20/12)^9</f>
        <v/>
      </c>
      <c r="M11" s="19">
        <f>Inputs!$B$19*(1+Inputs!$B$20/12)^10</f>
        <v/>
      </c>
      <c r="N11" s="19">
        <f>Inputs!$B$19*(1+Inputs!$B$20/12)^11</f>
        <v/>
      </c>
    </row>
    <row r="12">
      <c r="A12" t="inlineStr">
        <is>
          <t>One-time Expenses</t>
        </is>
      </c>
      <c r="C12" s="19">
        <f>IF(1=Inputs!$B$22,Inputs!$B$21,0)</f>
        <v/>
      </c>
      <c r="D12" s="19">
        <f>IF(2=Inputs!$B$22,Inputs!$B$21,0)</f>
        <v/>
      </c>
      <c r="E12" s="19">
        <f>IF(3=Inputs!$B$22,Inputs!$B$21,0)</f>
        <v/>
      </c>
      <c r="F12" s="19">
        <f>IF(4=Inputs!$B$22,Inputs!$B$21,0)</f>
        <v/>
      </c>
      <c r="G12" s="19">
        <f>IF(5=Inputs!$B$22,Inputs!$B$21,0)</f>
        <v/>
      </c>
      <c r="H12" s="19">
        <f>IF(6=Inputs!$B$22,Inputs!$B$21,0)</f>
        <v/>
      </c>
      <c r="I12" s="19">
        <f>IF(7=Inputs!$B$22,Inputs!$B$21,0)</f>
        <v/>
      </c>
      <c r="J12" s="19">
        <f>IF(8=Inputs!$B$22,Inputs!$B$21,0)</f>
        <v/>
      </c>
      <c r="K12" s="19">
        <f>IF(9=Inputs!$B$22,Inputs!$B$21,0)</f>
        <v/>
      </c>
      <c r="L12" s="19">
        <f>IF(10=Inputs!$B$22,Inputs!$B$21,0)</f>
        <v/>
      </c>
      <c r="M12" s="19">
        <f>IF(11=Inputs!$B$22,Inputs!$B$21,0)</f>
        <v/>
      </c>
      <c r="N12" s="19">
        <f>IF(12=Inputs!$B$22,Inputs!$B$21,0)</f>
        <v/>
      </c>
    </row>
    <row r="13">
      <c r="A13" t="inlineStr">
        <is>
          <t>Marketing &amp; Sales</t>
        </is>
      </c>
      <c r="C13" s="19">
        <f>C6*0.15</f>
        <v/>
      </c>
      <c r="D13" s="19">
        <f>D6*0.15</f>
        <v/>
      </c>
      <c r="E13" s="19">
        <f>E6*0.15</f>
        <v/>
      </c>
      <c r="F13" s="19">
        <f>F6*0.15</f>
        <v/>
      </c>
      <c r="G13" s="19">
        <f>G6*0.15</f>
        <v/>
      </c>
      <c r="H13" s="19">
        <f>H6*0.15</f>
        <v/>
      </c>
      <c r="I13" s="19">
        <f>I6*0.15</f>
        <v/>
      </c>
      <c r="J13" s="19">
        <f>J6*0.15</f>
        <v/>
      </c>
      <c r="K13" s="19">
        <f>K6*0.15</f>
        <v/>
      </c>
      <c r="L13" s="19">
        <f>L6*0.15</f>
        <v/>
      </c>
      <c r="M13" s="19">
        <f>M6*0.15</f>
        <v/>
      </c>
      <c r="N13" s="19">
        <f>N6*0.15</f>
        <v/>
      </c>
    </row>
    <row r="14">
      <c r="A14" s="6" t="inlineStr">
        <is>
          <t>Total Outflows</t>
        </is>
      </c>
      <c r="C14" s="20">
        <f>SUM(C11:C13)</f>
        <v/>
      </c>
      <c r="D14" s="20">
        <f>SUM(D11:D13)</f>
        <v/>
      </c>
      <c r="E14" s="20">
        <f>SUM(E11:E13)</f>
        <v/>
      </c>
      <c r="F14" s="20">
        <f>SUM(F11:F13)</f>
        <v/>
      </c>
      <c r="G14" s="20">
        <f>SUM(G11:G13)</f>
        <v/>
      </c>
      <c r="H14" s="20">
        <f>SUM(H11:H13)</f>
        <v/>
      </c>
      <c r="I14" s="20">
        <f>SUM(I11:I13)</f>
        <v/>
      </c>
      <c r="J14" s="20">
        <f>SUM(J11:J13)</f>
        <v/>
      </c>
      <c r="K14" s="20">
        <f>SUM(K11:K13)</f>
        <v/>
      </c>
      <c r="L14" s="20">
        <f>SUM(L11:L13)</f>
        <v/>
      </c>
      <c r="M14" s="20">
        <f>SUM(M11:M13)</f>
        <v/>
      </c>
      <c r="N14" s="20">
        <f>SUM(N11:N13)</f>
        <v/>
      </c>
    </row>
    <row r="16">
      <c r="A16" s="22" t="inlineStr">
        <is>
          <t>NET CASH FLOW</t>
        </is>
      </c>
      <c r="C16" s="5">
        <f>C8-C20</f>
        <v/>
      </c>
      <c r="D16" s="5">
        <f>D8-D20</f>
        <v/>
      </c>
      <c r="E16" s="5">
        <f>E8-E20</f>
        <v/>
      </c>
      <c r="F16" s="5">
        <f>F8-F20</f>
        <v/>
      </c>
      <c r="G16" s="5">
        <f>G8-G20</f>
        <v/>
      </c>
      <c r="H16" s="5">
        <f>H8-H20</f>
        <v/>
      </c>
      <c r="I16" s="5">
        <f>I8-I20</f>
        <v/>
      </c>
      <c r="J16" s="5">
        <f>J8-J20</f>
        <v/>
      </c>
      <c r="K16" s="5">
        <f>K8-K20</f>
        <v/>
      </c>
      <c r="L16" s="5">
        <f>L8-L20</f>
        <v/>
      </c>
      <c r="M16" s="5">
        <f>M8-M20</f>
        <v/>
      </c>
      <c r="N16" s="5">
        <f>N8-N20</f>
        <v/>
      </c>
    </row>
    <row r="17">
      <c r="A17" s="22" t="inlineStr">
        <is>
          <t>ENDING CASH BALANCE</t>
        </is>
      </c>
      <c r="B17" s="5">
        <f>Inputs!$B$5</f>
        <v/>
      </c>
      <c r="C17" s="20">
        <f>B17+C16</f>
        <v/>
      </c>
      <c r="D17" s="20">
        <f>C17+D16</f>
        <v/>
      </c>
      <c r="E17" s="20">
        <f>D17+E16</f>
        <v/>
      </c>
      <c r="F17" s="20">
        <f>E17+F16</f>
        <v/>
      </c>
      <c r="G17" s="20">
        <f>F17+G16</f>
        <v/>
      </c>
      <c r="H17" s="20">
        <f>G17+H16</f>
        <v/>
      </c>
      <c r="I17" s="20">
        <f>H17+I16</f>
        <v/>
      </c>
      <c r="J17" s="20">
        <f>I17+J16</f>
        <v/>
      </c>
      <c r="K17" s="20">
        <f>J17+K16</f>
        <v/>
      </c>
      <c r="L17" s="20">
        <f>K17+L16</f>
        <v/>
      </c>
      <c r="M17" s="20">
        <f>L17+M16</f>
        <v/>
      </c>
      <c r="N17" s="20">
        <f>M17+N16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9" t="inlineStr">
        <is>
          <t>HOW TO USE THIS CASH FLOW FORECASTER</t>
        </is>
      </c>
    </row>
    <row r="3">
      <c r="A3" t="inlineStr"/>
    </row>
    <row r="4">
      <c r="A4" s="25" t="inlineStr">
        <is>
          <t>QUICK START</t>
        </is>
      </c>
    </row>
    <row r="5">
      <c r="A5" t="inlineStr">
        <is>
          <t>1. Go to the "Inputs" sheet</t>
        </is>
      </c>
    </row>
    <row r="6">
      <c r="A6" t="inlineStr">
        <is>
          <t>2. Enter your data in the YELLOW cells</t>
        </is>
      </c>
    </row>
    <row r="7">
      <c r="A7" t="inlineStr">
        <is>
          <t>3. Go to "Dashboard" to see your 12-month forecast</t>
        </is>
      </c>
    </row>
    <row r="8">
      <c r="A8" t="inlineStr">
        <is>
          <t>4. Review all 3 scenarios: Realistic, Optimistic, Pessimistic</t>
        </is>
      </c>
    </row>
    <row r="9">
      <c r="A9" t="inlineStr"/>
    </row>
    <row r="10">
      <c r="A10" s="25" t="inlineStr">
        <is>
          <t>UNDERSTANDING THE SCENARIOS</t>
        </is>
      </c>
    </row>
    <row r="11">
      <c r="A11" t="inlineStr"/>
    </row>
    <row r="12">
      <c r="A12" t="inlineStr">
        <is>
          <t>Realistic: Your best estimate of likely performance (8% growth)</t>
        </is>
      </c>
    </row>
    <row r="13">
      <c r="A13" t="inlineStr">
        <is>
          <t>Optimistic: Best-case scenario if things go well (15% growth)</t>
        </is>
      </c>
    </row>
    <row r="14">
      <c r="A14" t="inlineStr">
        <is>
          <t>Pessimistic: Worst-case if things go poorly (3% growth)</t>
        </is>
      </c>
    </row>
    <row r="15">
      <c r="A15" t="inlineStr"/>
    </row>
    <row r="16">
      <c r="A16" s="25" t="inlineStr">
        <is>
          <t>KEY METRICS EXPLAINED</t>
        </is>
      </c>
    </row>
    <row r="17">
      <c r="A17" t="inlineStr"/>
    </row>
    <row r="18">
      <c r="A18" t="inlineStr">
        <is>
          <t>Net Cash Flow: Revenue minus expenses each month</t>
        </is>
      </c>
    </row>
    <row r="19">
      <c r="A19" t="inlineStr">
        <is>
          <t>Ending Cash Balance: Running total of cash on hand</t>
        </is>
      </c>
    </row>
    <row r="20">
      <c r="A20" t="inlineStr">
        <is>
          <t>Lowest Cash Point: The month where you have the least cash</t>
        </is>
      </c>
    </row>
    <row r="21">
      <c r="A21" t="inlineStr">
        <is>
          <t>Cash Shortage Alert: Warns if you drop below minimum threshold</t>
        </is>
      </c>
    </row>
    <row r="22">
      <c r="A22" t="inlineStr"/>
    </row>
    <row r="23">
      <c r="A23" s="25" t="inlineStr">
        <is>
          <t>SEASONAL ADJUSTMENTS</t>
        </is>
      </c>
    </row>
    <row r="24">
      <c r="A24" t="inlineStr"/>
    </row>
    <row r="25">
      <c r="A25" t="inlineStr">
        <is>
          <t>Q1 Factor: If Q1 is typically slow, set to 0.85 (15% below average)</t>
        </is>
      </c>
    </row>
    <row r="26">
      <c r="A26" t="inlineStr">
        <is>
          <t>Q2 Factor: Average quarter = 1.00</t>
        </is>
      </c>
    </row>
    <row r="27">
      <c r="A27" t="inlineStr">
        <is>
          <t>Q3 Factor: Slightly slow = 0.95</t>
        </is>
      </c>
    </row>
    <row r="28">
      <c r="A28" t="inlineStr">
        <is>
          <t>Q4 Factor: Strong end of year = 1.20</t>
        </is>
      </c>
    </row>
    <row r="29">
      <c r="A29" t="inlineStr">
        <is>
          <t>Adjust these based on your business patterns</t>
        </is>
      </c>
    </row>
    <row r="30">
      <c r="A30" t="inlineStr"/>
    </row>
    <row r="31">
      <c r="A31" s="25" t="inlineStr">
        <is>
          <t>USING THE FORECASTS</t>
        </is>
      </c>
    </row>
    <row r="32">
      <c r="A32" t="inlineStr"/>
    </row>
    <row r="33">
      <c r="A33" t="inlineStr">
        <is>
          <t>- Check Dashboard monthly to update actuals</t>
        </is>
      </c>
    </row>
    <row r="34">
      <c r="A34" t="inlineStr">
        <is>
          <t>- If Realistic scenario shows cash shortage, plan now</t>
        </is>
      </c>
    </row>
    <row r="35">
      <c r="A35" t="inlineStr">
        <is>
          <t>- Start fundraising 60-90 days before projected shortage</t>
        </is>
      </c>
    </row>
    <row r="36">
      <c r="A36" t="inlineStr">
        <is>
          <t>- Use scenarios to plan hiring, expansions, investments</t>
        </is>
      </c>
    </row>
    <row r="37">
      <c r="A37" t="inlineStr"/>
    </row>
    <row r="38">
      <c r="A38" s="25" t="inlineStr">
        <is>
          <t>TIPS FOR ACCURACY</t>
        </is>
      </c>
    </row>
    <row r="39">
      <c r="A39" t="inlineStr"/>
    </row>
    <row r="40">
      <c r="A40" t="inlineStr">
        <is>
          <t>- Be conservative with revenue growth estimates</t>
        </is>
      </c>
    </row>
    <row r="41">
      <c r="A41" t="inlineStr">
        <is>
          <t>- Include all expenses (don't forget annual costs)</t>
        </is>
      </c>
    </row>
    <row r="42">
      <c r="A42" t="inlineStr">
        <is>
          <t>- Update monthly with actual numbers</t>
        </is>
      </c>
    </row>
    <row r="43">
      <c r="A43" t="inlineStr">
        <is>
          <t>- Plan for one-time expenses (equipment, hiring, etc.)</t>
        </is>
      </c>
    </row>
    <row r="44">
      <c r="A44" t="inlineStr">
        <is>
          <t>- Keep minimum cash buffer (3-6 months of expenses)</t>
        </is>
      </c>
    </row>
    <row r="45">
      <c r="A45" t="inlineStr"/>
    </row>
    <row r="46">
      <c r="A46" s="25" t="inlineStr">
        <is>
          <t>SUPPORT</t>
        </is>
      </c>
    </row>
    <row r="47">
      <c r="A47" t="inlineStr">
        <is>
          <t>Questions? Email: support@yoursite.com</t>
        </is>
      </c>
    </row>
    <row r="48">
      <c r="A48" t="inlineStr"/>
    </row>
    <row r="49">
      <c r="A49" s="25" t="inlineStr">
        <is>
          <t>VERSION</t>
        </is>
      </c>
    </row>
    <row r="50">
      <c r="A50" t="inlineStr">
        <is>
          <t>Cash Flow Forecaster v1.0</t>
        </is>
      </c>
    </row>
    <row r="51">
      <c r="A51" t="inlineStr">
        <is>
          <t>Created: January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2026-01-19T01:50:00Z</dcterms:created>
  <dcterms:modified xmlns:dcterms="http://purl.org/dc/terms/" xmlns:xsi="http://www.w3.org/2001/XMLSchema-instance" xsi:type="dcterms:W3CDTF">2026-01-19T01:50:00Z</dcterms:modified>
</cp:coreProperties>
</file>